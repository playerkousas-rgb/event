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ata" sheetId="2" r:id="rId5"/>
    <sheet state="visible" name="其他" sheetId="3" r:id="rId6"/>
    <sheet state="visible" name="節目" sheetId="4" r:id="rId7"/>
    <sheet state="visible" name="會操典禮" sheetId="5" r:id="rId8"/>
    <sheet state="visible" name="服務" sheetId="6" r:id="rId9"/>
    <sheet state="visible" name="協調" sheetId="7" r:id="rId10"/>
    <sheet state="visible" name="行政" sheetId="8" r:id="rId11"/>
    <sheet state="visible" name="OrgC" sheetId="9" r:id="rId12"/>
    <sheet state="visible" name="para" sheetId="10" r:id="rId13"/>
  </sheets>
  <definedNames/>
  <calcPr/>
  <extLst>
    <ext uri="GoogleSheetsCustomDataVersion2">
      <go:sheetsCustomData xmlns:go="http://customooxmlschemas.google.com/" r:id="rId14" roundtripDataChecksum="GyqF9ZuzrOlvLCfFJWtwc1S8UfWpS8kBHVFNOM7eTh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======
ID#AAACHZqHLe8
Allison Yuen    (2026-09-21 09:25:05)
三哥</t>
      </text>
    </comment>
  </commentList>
  <extLst>
    <ext uri="GoogleSheetsCustomDataVersion2">
      <go:sheetsCustomData xmlns:go="http://customooxmlschemas.google.com/" r:id="rId1" roundtripDataSignature="AMtx7mgXnv7DEHIYil5MknIGcQzGxdDXq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======
ID#AAACHzZ4m5k
Allison Yuen    (2026-10-01 16:16:02)
本來 A</t>
      </text>
    </comment>
  </commentList>
  <extLst>
    <ext uri="GoogleSheetsCustomDataVersion2">
      <go:sheetsCustomData xmlns:go="http://customooxmlschemas.google.com/" r:id="rId1" roundtripDataSignature="AMtx7mhUr5UX+sO4bbNts0eHJZ1LXWh+uA=="/>
    </ext>
  </extLst>
</comments>
</file>

<file path=xl/sharedStrings.xml><?xml version="1.0" encoding="utf-8"?>
<sst xmlns="http://schemas.openxmlformats.org/spreadsheetml/2006/main" count="2700" uniqueCount="615">
  <si>
    <t>unit</t>
  </si>
  <si>
    <t>組別</t>
  </si>
  <si>
    <t>name</t>
  </si>
  <si>
    <t>中文姓名</t>
  </si>
  <si>
    <t>rice</t>
  </si>
  <si>
    <t>Headcount</t>
  </si>
  <si>
    <r>
      <rPr>
        <rFont val="Times New Roman"/>
        <b/>
        <color theme="1"/>
        <sz val="12.0"/>
      </rPr>
      <t xml:space="preserve">童軍職位
</t>
    </r>
    <r>
      <rPr>
        <rFont val="Times New Roman"/>
        <b/>
        <color theme="1"/>
        <sz val="12.0"/>
      </rPr>
      <t>(L,R,V,S)</t>
    </r>
  </si>
  <si>
    <t>Rice count</t>
  </si>
  <si>
    <t>所屬旅團
(地域幹部請填寫職位)</t>
  </si>
  <si>
    <t>午餐選擇</t>
  </si>
  <si>
    <r>
      <rPr>
        <rFont val="PMingLiu"/>
        <b/>
        <color theme="1"/>
        <sz val="12.0"/>
      </rPr>
      <t xml:space="preserve">童軍職位
</t>
    </r>
    <r>
      <rPr>
        <rFont val="Times New Roman"/>
        <b/>
        <color theme="1"/>
        <sz val="12.0"/>
      </rPr>
      <t>(L,R,V,S)</t>
    </r>
  </si>
  <si>
    <t>品牌推廣</t>
  </si>
  <si>
    <t>小食 count</t>
  </si>
  <si>
    <t>黃偉安</t>
  </si>
  <si>
    <t>-</t>
  </si>
  <si>
    <t>電郵地址(寄發感謝狀用)</t>
  </si>
  <si>
    <t>Booth No./Name</t>
  </si>
  <si>
    <t>For core committee only</t>
  </si>
  <si>
    <t>何嘉駿</t>
  </si>
  <si>
    <t>Remarks</t>
  </si>
  <si>
    <t>B  鹹蛋蒸肉餅飯 配菜</t>
  </si>
  <si>
    <t>何家騏</t>
  </si>
  <si>
    <t>朱家聰</t>
  </si>
  <si>
    <t>袁可秀</t>
  </si>
  <si>
    <t>嘉賓接待</t>
  </si>
  <si>
    <t>秘書處</t>
  </si>
  <si>
    <t>救傷</t>
  </si>
  <si>
    <t>張佳良</t>
  </si>
  <si>
    <t>典禮</t>
  </si>
  <si>
    <t>會操</t>
  </si>
  <si>
    <t>服務</t>
  </si>
  <si>
    <t>協調</t>
  </si>
  <si>
    <t>行政</t>
  </si>
  <si>
    <t>ST</t>
  </si>
  <si>
    <t>A1 Core</t>
  </si>
  <si>
    <t>李沛豪</t>
  </si>
  <si>
    <t>管理</t>
  </si>
  <si>
    <t>A  柱侯蘿蔔牛腩飯 配菜</t>
  </si>
  <si>
    <t>Abb</t>
  </si>
  <si>
    <t>林耀鏘</t>
  </si>
  <si>
    <t>C  滷水雞髀拼紅腸飯  配菜</t>
  </si>
  <si>
    <t>黃俊強</t>
  </si>
  <si>
    <t>A2 機電1</t>
  </si>
  <si>
    <t>A3 機電2</t>
  </si>
  <si>
    <t>A4 機電3</t>
  </si>
  <si>
    <t>L</t>
  </si>
  <si>
    <t>A5 機電4</t>
  </si>
  <si>
    <t>DRC</t>
  </si>
  <si>
    <t>A6 Police-反恐</t>
  </si>
  <si>
    <t>A7 Police-網絡</t>
  </si>
  <si>
    <t>嘉賓自助午餐(只限總監級/副主席)</t>
  </si>
  <si>
    <t>A8 Police-NB</t>
  </si>
  <si>
    <t>Lunch</t>
  </si>
  <si>
    <t>edwardwong@hkirscout.org.hk</t>
  </si>
  <si>
    <t>A9 Police-毒品調查</t>
  </si>
  <si>
    <t>A10 Police-國安</t>
  </si>
  <si>
    <t>A11 Police-交通</t>
  </si>
  <si>
    <t>A12 Police-鑑證</t>
  </si>
  <si>
    <t>顧問</t>
  </si>
  <si>
    <t>B1 青年聯會</t>
  </si>
  <si>
    <t>人</t>
  </si>
  <si>
    <t>B2 箭會</t>
  </si>
  <si>
    <t>B3 VentureC</t>
  </si>
  <si>
    <t>C1 槍會</t>
  </si>
  <si>
    <t>徐士奇</t>
  </si>
  <si>
    <t>C2 Air</t>
  </si>
  <si>
    <t>C3 航天學會</t>
  </si>
  <si>
    <t>C4 無人機</t>
  </si>
  <si>
    <t>陳鈞瀚</t>
  </si>
  <si>
    <t>主題節目</t>
  </si>
  <si>
    <t>周恒晉</t>
  </si>
  <si>
    <t>D4 WCH-社參 1</t>
  </si>
  <si>
    <t>D5 WCH-社參 2</t>
  </si>
  <si>
    <t>RHQC</t>
  </si>
  <si>
    <t>ARC</t>
  </si>
  <si>
    <t>E1 VIC-精神健康</t>
  </si>
  <si>
    <t>dominicho@hkirscout.org.hk</t>
  </si>
  <si>
    <t>E2 VIC-公共衛生</t>
  </si>
  <si>
    <t>楊焯熹</t>
  </si>
  <si>
    <t>Random</t>
  </si>
  <si>
    <t>E3 Listening Ear</t>
  </si>
  <si>
    <t>F1 生態</t>
  </si>
  <si>
    <t>梁喆</t>
  </si>
  <si>
    <t>F2 章會</t>
  </si>
  <si>
    <t>副主席（主題節目）</t>
  </si>
  <si>
    <t>F3 天文會</t>
  </si>
  <si>
    <t>袁頌文</t>
  </si>
  <si>
    <t>F4 先鋒會</t>
  </si>
  <si>
    <t>chukachung@gmail.com</t>
  </si>
  <si>
    <t>A1</t>
  </si>
  <si>
    <t>主席</t>
  </si>
  <si>
    <t>F5 Band</t>
  </si>
  <si>
    <t>D  (素)翠玉瓜雲耳炒野菌</t>
  </si>
  <si>
    <t>F6 皮會</t>
  </si>
  <si>
    <t>節目組總部</t>
  </si>
  <si>
    <t>曾澤霖</t>
  </si>
  <si>
    <t>社區廚房</t>
  </si>
  <si>
    <t>關駿禧</t>
  </si>
  <si>
    <t>206HKG</t>
  </si>
  <si>
    <t>旅團代訂</t>
  </si>
  <si>
    <t>allisonyuen@yahoo.com.hk</t>
  </si>
  <si>
    <t>221st</t>
  </si>
  <si>
    <t>執行副主席</t>
  </si>
  <si>
    <t>黃竣暉</t>
  </si>
  <si>
    <t>GT</t>
  </si>
  <si>
    <t>李朗僖</t>
  </si>
  <si>
    <t>ordered</t>
  </si>
  <si>
    <t>270 + 5 素</t>
  </si>
  <si>
    <t>其他</t>
  </si>
  <si>
    <t>救傷1</t>
  </si>
  <si>
    <t>ADC/VIC</t>
  </si>
  <si>
    <t>港島第161旅
深資童軍
高敏儀</t>
  </si>
  <si>
    <t>救傷2</t>
  </si>
  <si>
    <t>港島第161旅
深資童軍
何卓茵</t>
  </si>
  <si>
    <t>港島第161旅
深資童軍
何祉鋆</t>
  </si>
  <si>
    <t>港島第161旅
深資童軍
伍恩孝</t>
  </si>
  <si>
    <t>港島第161旅
深資童軍
李漢宏</t>
  </si>
  <si>
    <t>救傷3</t>
  </si>
  <si>
    <t>副主席（品牌推廣）</t>
  </si>
  <si>
    <t>仇紹謙</t>
  </si>
  <si>
    <t>ADC/HKW</t>
  </si>
  <si>
    <t>救傷4</t>
  </si>
  <si>
    <t>嘉賓自助午餐(只限總監級)</t>
  </si>
  <si>
    <t>總主任（主題節目）</t>
  </si>
  <si>
    <t>A2</t>
  </si>
  <si>
    <t>積極公民工作坊 - 機電1</t>
  </si>
  <si>
    <t>救傷5</t>
  </si>
  <si>
    <t>CHW</t>
  </si>
  <si>
    <t>宣傳主任</t>
  </si>
  <si>
    <t>救傷6</t>
  </si>
  <si>
    <t>何令勤</t>
  </si>
  <si>
    <t>救傷7</t>
  </si>
  <si>
    <t>HKIR</t>
  </si>
  <si>
    <t>救傷8</t>
  </si>
  <si>
    <t>VIC</t>
  </si>
  <si>
    <t>節目主任</t>
  </si>
  <si>
    <t>A3</t>
  </si>
  <si>
    <t>拍攝/攝錄統籌主任</t>
  </si>
  <si>
    <t>積極公民工作坊 - 機電2</t>
  </si>
  <si>
    <t>何家耀</t>
  </si>
  <si>
    <t>會操典禮</t>
  </si>
  <si>
    <t>李懷恩</t>
  </si>
  <si>
    <t>陳鋑羲</t>
  </si>
  <si>
    <t>黃凱琳</t>
  </si>
  <si>
    <t>A4</t>
  </si>
  <si>
    <t>積極公民工作坊 - 機電3</t>
  </si>
  <si>
    <t>設計主任</t>
  </si>
  <si>
    <t>張宏剛</t>
  </si>
  <si>
    <t>林雋逸</t>
  </si>
  <si>
    <t>ADC/HKS</t>
  </si>
  <si>
    <t>A5</t>
  </si>
  <si>
    <t>積極公民工作坊 - 機電4</t>
  </si>
  <si>
    <t>馮玉成</t>
  </si>
  <si>
    <t>羅卓華</t>
  </si>
  <si>
    <t>范紫晴</t>
  </si>
  <si>
    <t>A6</t>
  </si>
  <si>
    <t>林卓衡</t>
  </si>
  <si>
    <r>
      <rPr>
        <rFont val="Times New Roman"/>
        <b/>
        <color rgb="FF000000"/>
      </rPr>
      <t>香港警務處 - 跨部門反恐專責組(ICTU)</t>
    </r>
    <r>
      <rPr>
        <rFont val="Times New Roman"/>
        <b/>
        <color rgb="FF0000FF"/>
      </rPr>
      <t xml:space="preserve">
1100前完成setup</t>
    </r>
  </si>
  <si>
    <t>曾麗珊</t>
  </si>
  <si>
    <t>莊鎵漩</t>
  </si>
  <si>
    <t>Nil</t>
  </si>
  <si>
    <t>甄蘊而</t>
  </si>
  <si>
    <t>午餐時間無需當值</t>
  </si>
  <si>
    <t>談煒亮</t>
  </si>
  <si>
    <t>李庭甄</t>
  </si>
  <si>
    <t>服務與發展</t>
  </si>
  <si>
    <t>副主席（嘉賓接待）</t>
  </si>
  <si>
    <t>A7</t>
  </si>
  <si>
    <r>
      <rPr>
        <rFont val="Times New Roman"/>
        <color theme="1"/>
      </rPr>
      <t xml:space="preserve">香港警務處 - 網絡安全及科技罪案調查科(CSTCB)
</t>
    </r>
    <r>
      <rPr>
        <rFont val="Times New Roman"/>
        <color rgb="FF0000FF"/>
      </rPr>
      <t>1300前完成setup</t>
    </r>
  </si>
  <si>
    <t>NIl</t>
  </si>
  <si>
    <t>黎姵伶</t>
  </si>
  <si>
    <t>鄭筠頤</t>
  </si>
  <si>
    <t>張嘉政</t>
  </si>
  <si>
    <t>李卓琪</t>
  </si>
  <si>
    <t>jackcheung@hkirscout.org.hk</t>
  </si>
  <si>
    <t>郭成威</t>
  </si>
  <si>
    <t>楊煒儀</t>
  </si>
  <si>
    <t>V</t>
  </si>
  <si>
    <t>總主任（嘉賓接待）</t>
  </si>
  <si>
    <t>黃培芳</t>
  </si>
  <si>
    <t>黃泳珊</t>
  </si>
  <si>
    <t xml:space="preserve">teresawg1021@gmail.com </t>
  </si>
  <si>
    <t>嘉賓接待主任</t>
  </si>
  <si>
    <t>李國文</t>
  </si>
  <si>
    <t>黎仲豪</t>
  </si>
  <si>
    <t>鄭善茵</t>
  </si>
  <si>
    <t>觀塘循道衛理</t>
  </si>
  <si>
    <t>張敬浩</t>
  </si>
  <si>
    <t>ARHQC</t>
  </si>
  <si>
    <t>marscheung@hkirscout.org.hk</t>
  </si>
  <si>
    <t>1178EKG</t>
  </si>
  <si>
    <t>交通主任</t>
  </si>
  <si>
    <t>吳宇森</t>
  </si>
  <si>
    <t>朱浩銘</t>
  </si>
  <si>
    <t>minghochu2004@yahoo.com.hk</t>
  </si>
  <si>
    <t>嘉賓支援主任</t>
  </si>
  <si>
    <t>A8</t>
  </si>
  <si>
    <t>香港警務處 - 毒品調查科(NB)</t>
  </si>
  <si>
    <t>VS</t>
  </si>
  <si>
    <t>186HKG</t>
  </si>
  <si>
    <t>HKIR RS</t>
  </si>
  <si>
    <t>潘日朗</t>
  </si>
  <si>
    <t>堵祺銘</t>
  </si>
  <si>
    <t>R</t>
  </si>
  <si>
    <t>66HKG</t>
  </si>
  <si>
    <t>A9</t>
  </si>
  <si>
    <t>袁宇靖</t>
  </si>
  <si>
    <t>羅添駿</t>
  </si>
  <si>
    <t>陳樂晞</t>
  </si>
  <si>
    <t>馬一波</t>
  </si>
  <si>
    <t>BP</t>
  </si>
  <si>
    <t>6HKG</t>
  </si>
  <si>
    <t>吳卓藍</t>
  </si>
  <si>
    <t>7HKG</t>
  </si>
  <si>
    <t>郭慧敏</t>
  </si>
  <si>
    <t>A10</t>
  </si>
  <si>
    <t>香港警務處 - 國家安全處(NSD)</t>
  </si>
  <si>
    <t>施珍淇</t>
  </si>
  <si>
    <t>布瀚文</t>
  </si>
  <si>
    <t>黃紀靖</t>
  </si>
  <si>
    <t>82HKG</t>
  </si>
  <si>
    <t>鄺逸俊</t>
  </si>
  <si>
    <t>A11</t>
  </si>
  <si>
    <t>李思諭</t>
  </si>
  <si>
    <r>
      <rPr>
        <rFont val="Times New Roman"/>
        <color theme="1"/>
      </rPr>
      <t xml:space="preserve"> 香港警務處 - 交通總區(T HKI - SSP)
</t>
    </r>
    <r>
      <rPr>
        <rFont val="Times New Roman"/>
        <b/>
        <color rgb="FF0000FF"/>
      </rPr>
      <t>1130-1630</t>
    </r>
  </si>
  <si>
    <t>許嘉琪</t>
  </si>
  <si>
    <t>楊國榮</t>
  </si>
  <si>
    <t>WCH</t>
  </si>
  <si>
    <t>楊子軒</t>
  </si>
  <si>
    <t>A12</t>
  </si>
  <si>
    <t>香港警務處 - 鑑證科(IB / CSI)</t>
  </si>
  <si>
    <t>李晞朗</t>
  </si>
  <si>
    <t>吳偉傑</t>
  </si>
  <si>
    <t>麥天恩</t>
  </si>
  <si>
    <t>NGO</t>
  </si>
  <si>
    <t>譚逸朗</t>
  </si>
  <si>
    <t>馮昊新</t>
  </si>
  <si>
    <t>葉瑞恩</t>
  </si>
  <si>
    <t>46EKR</t>
  </si>
  <si>
    <t>徐嘉皓</t>
  </si>
  <si>
    <t>B1</t>
  </si>
  <si>
    <t>香港島青年聯會</t>
  </si>
  <si>
    <t>莫穎民</t>
  </si>
  <si>
    <t>何仲康</t>
  </si>
  <si>
    <t>李沛埕</t>
  </si>
  <si>
    <t>蔡天欣</t>
  </si>
  <si>
    <t>147HKG</t>
  </si>
  <si>
    <t>葉永全</t>
  </si>
  <si>
    <t>B2</t>
  </si>
  <si>
    <t>港島童軍射藝會</t>
  </si>
  <si>
    <t>李泳希</t>
  </si>
  <si>
    <t>李俊熹</t>
  </si>
  <si>
    <t>何緯業</t>
  </si>
  <si>
    <t>B3</t>
  </si>
  <si>
    <t>港島地域 - 深資童軍議會 / 港島南區</t>
  </si>
  <si>
    <t>譚健祥</t>
  </si>
  <si>
    <t>溫智誼</t>
  </si>
  <si>
    <t>吳梓榮</t>
  </si>
  <si>
    <t>C1</t>
  </si>
  <si>
    <t>港島童軍氣槍射擊會</t>
  </si>
  <si>
    <t>董曉晴</t>
  </si>
  <si>
    <t>A</t>
  </si>
  <si>
    <t>C2</t>
  </si>
  <si>
    <t>施盛銘</t>
  </si>
  <si>
    <t>港島地域 - 航空活動</t>
  </si>
  <si>
    <t>梁鈞皓</t>
  </si>
  <si>
    <t>周巾晴</t>
  </si>
  <si>
    <t>C3</t>
  </si>
  <si>
    <t>香港航天學會 - 航天、航空</t>
  </si>
  <si>
    <t>B</t>
  </si>
  <si>
    <t>麥栢浩</t>
  </si>
  <si>
    <t>施純龍</t>
  </si>
  <si>
    <t>高敏儀</t>
  </si>
  <si>
    <t>161HKG</t>
  </si>
  <si>
    <t>C</t>
  </si>
  <si>
    <t>C4</t>
  </si>
  <si>
    <t>中國香港東區無人機協會 - 無人機體驗</t>
  </si>
  <si>
    <t>何卓茵</t>
  </si>
  <si>
    <t>D</t>
  </si>
  <si>
    <t>D1</t>
  </si>
  <si>
    <t>港島地域 - 發展部</t>
  </si>
  <si>
    <t>Pannie</t>
  </si>
  <si>
    <t>何祉鋆</t>
  </si>
  <si>
    <t>D2</t>
  </si>
  <si>
    <t>港島地域 - 社區參與及服務1</t>
  </si>
  <si>
    <t>Buffet</t>
  </si>
  <si>
    <t>伍恩孝</t>
  </si>
  <si>
    <t>D3</t>
  </si>
  <si>
    <t>港島地域 - 社區參與及服務2</t>
  </si>
  <si>
    <t>李漢宏</t>
  </si>
  <si>
    <t>D4</t>
  </si>
  <si>
    <t>港島地域 - 灣仔區 - 社區參與章1</t>
  </si>
  <si>
    <t>staff incl buffet</t>
  </si>
  <si>
    <t>NA</t>
  </si>
  <si>
    <t>D5</t>
  </si>
  <si>
    <t>港島地域 - 灣仔區 - 社區參與章2</t>
  </si>
  <si>
    <t>Staff count</t>
  </si>
  <si>
    <t>E1</t>
  </si>
  <si>
    <t>港島地域 - 維多利亞城區 - 精神健康章</t>
  </si>
  <si>
    <t>E2</t>
  </si>
  <si>
    <t>港島地域 - 維多利亞城區 - 公共衞生章</t>
  </si>
  <si>
    <t>小食</t>
  </si>
  <si>
    <t>清真</t>
  </si>
  <si>
    <t>三文治</t>
  </si>
  <si>
    <t>E3</t>
  </si>
  <si>
    <t>Listening Ears</t>
  </si>
  <si>
    <t>F1</t>
  </si>
  <si>
    <t>港島童軍生態小組</t>
  </si>
  <si>
    <t>F2</t>
  </si>
  <si>
    <t>港島童軍章會</t>
  </si>
  <si>
    <t>F3</t>
  </si>
  <si>
    <t>港島童軍天文會</t>
  </si>
  <si>
    <t>F4</t>
  </si>
  <si>
    <t>港島童軍先鋒工程會</t>
  </si>
  <si>
    <t>會操及典禮</t>
  </si>
  <si>
    <t>F5</t>
  </si>
  <si>
    <t>港島地域童軍樂隊</t>
  </si>
  <si>
    <t>F6</t>
  </si>
  <si>
    <t>港島童軍皮藝會</t>
  </si>
  <si>
    <t>服務及發展</t>
  </si>
  <si>
    <t>B2 箭會 cut 1 飯</t>
  </si>
  <si>
    <t>B3 VentureC cut 1 飯</t>
  </si>
  <si>
    <t>雷健泉</t>
  </si>
  <si>
    <t>李嘉輝</t>
  </si>
  <si>
    <t>王秀珍</t>
  </si>
  <si>
    <t>馮幗玲</t>
  </si>
  <si>
    <t>王文貞</t>
  </si>
  <si>
    <t>陳珮瑜</t>
  </si>
  <si>
    <t>社區客廳油麻地</t>
  </si>
  <si>
    <t>黃超明</t>
  </si>
  <si>
    <t>廖淑霞</t>
  </si>
  <si>
    <t>周國華</t>
  </si>
  <si>
    <t>廖淑滿</t>
  </si>
  <si>
    <t>共創明天</t>
  </si>
  <si>
    <t>蔡新奇</t>
  </si>
  <si>
    <t>彭家輝</t>
  </si>
  <si>
    <t>UG parade</t>
  </si>
  <si>
    <t>張秀珍</t>
  </si>
  <si>
    <t>黎美玲</t>
  </si>
  <si>
    <t>旅團</t>
  </si>
  <si>
    <t>張健卿</t>
  </si>
  <si>
    <t>箭會</t>
  </si>
  <si>
    <t>盧泳思</t>
  </si>
  <si>
    <t>港島第14旅
深資童軍議會
主席
陳君碩</t>
  </si>
  <si>
    <t>港島第90旅
深資童軍議會
外務副主席
 劉愷慇</t>
  </si>
  <si>
    <t>港島南區
區領袖
林沛慧</t>
  </si>
  <si>
    <t>港島南區 
區長(幼童軍)
姜健聰</t>
  </si>
  <si>
    <t>港島南區
區長(童軍)
沈志宏</t>
  </si>
  <si>
    <t>陳靖霏</t>
  </si>
  <si>
    <t>梁鈞柏</t>
  </si>
  <si>
    <t>12TY</t>
  </si>
  <si>
    <t>陳君碩</t>
  </si>
  <si>
    <t>14HKG</t>
  </si>
  <si>
    <t>李婉怡</t>
  </si>
  <si>
    <t xml:space="preserve"> 劉愷慇</t>
  </si>
  <si>
    <t>90HKG</t>
  </si>
  <si>
    <t>劉彥妙</t>
  </si>
  <si>
    <t>盧凱康</t>
  </si>
  <si>
    <t>ABCD total</t>
  </si>
  <si>
    <t>林沛慧</t>
  </si>
  <si>
    <t>HKS</t>
  </si>
  <si>
    <t>林尚禧</t>
  </si>
  <si>
    <t>林培恩</t>
  </si>
  <si>
    <t>姜健聰</t>
  </si>
  <si>
    <t>顏肇鋒</t>
  </si>
  <si>
    <t>黃逸晴</t>
  </si>
  <si>
    <t>劉彥翀</t>
  </si>
  <si>
    <t>沈志宏</t>
  </si>
  <si>
    <t>葉志光</t>
  </si>
  <si>
    <t>小食餐盒</t>
  </si>
  <si>
    <t>王淑娟</t>
  </si>
  <si>
    <t>李俊衡</t>
  </si>
  <si>
    <t>槍會</t>
  </si>
  <si>
    <t>鄺崇恩</t>
  </si>
  <si>
    <t>林愷睿</t>
  </si>
  <si>
    <t>李樂妍</t>
  </si>
  <si>
    <t>陳俊言</t>
  </si>
  <si>
    <t>尹紹熙</t>
  </si>
  <si>
    <t>董曉雯</t>
  </si>
  <si>
    <t>黃錫祥</t>
  </si>
  <si>
    <t>楊天恒</t>
  </si>
  <si>
    <t>牛腩飯</t>
  </si>
  <si>
    <t>肉餅飯</t>
  </si>
  <si>
    <t>雞肶飯</t>
  </si>
  <si>
    <t>素飯</t>
  </si>
  <si>
    <t>鄧靄兒</t>
  </si>
  <si>
    <t>buffet</t>
  </si>
  <si>
    <t>黃瑜輝</t>
  </si>
  <si>
    <t>鍾鎧謙</t>
  </si>
  <si>
    <t>1st round order</t>
  </si>
  <si>
    <t>陳家穎</t>
  </si>
  <si>
    <t>陳信宇</t>
  </si>
  <si>
    <t>陳素嫻</t>
  </si>
  <si>
    <t>2nd round add</t>
  </si>
  <si>
    <t>羅凱琳</t>
  </si>
  <si>
    <t>王樂衡</t>
  </si>
  <si>
    <t>王曄天</t>
  </si>
  <si>
    <t>何希楊</t>
  </si>
  <si>
    <t>何希楠</t>
  </si>
  <si>
    <t>馬嘉偉</t>
  </si>
  <si>
    <t>蘇暉皓</t>
  </si>
  <si>
    <t>石朗賢</t>
  </si>
  <si>
    <t>顧樂希</t>
  </si>
  <si>
    <t>曾肇勳</t>
  </si>
  <si>
    <t>譚綺盈</t>
  </si>
  <si>
    <t>邱淑瑜</t>
  </si>
  <si>
    <t>馬域其</t>
  </si>
  <si>
    <t>林潤泉</t>
  </si>
  <si>
    <t>區賢達</t>
  </si>
  <si>
    <r>
      <rPr>
        <rFont val="PMingLiu"/>
        <b/>
        <color theme="1"/>
        <sz val="12.0"/>
      </rPr>
      <t xml:space="preserve">童軍職位
</t>
    </r>
    <r>
      <rPr>
        <rFont val="Times New Roman"/>
        <b/>
        <color theme="1"/>
        <sz val="12.0"/>
      </rPr>
      <t>(L,R,V,S)</t>
    </r>
  </si>
  <si>
    <t>羅淑儀</t>
  </si>
  <si>
    <t>郭楚謙</t>
  </si>
  <si>
    <t>譚綺情</t>
  </si>
  <si>
    <t>陳啟耀</t>
  </si>
  <si>
    <t>賴天賜</t>
  </si>
  <si>
    <t>staff</t>
  </si>
  <si>
    <t>鄭詠心</t>
  </si>
  <si>
    <t>何貝兒</t>
  </si>
  <si>
    <t>何貝愉</t>
  </si>
  <si>
    <t>RS/HKIR</t>
  </si>
  <si>
    <t>李德權</t>
  </si>
  <si>
    <t>副主席(會操及典禮)</t>
  </si>
  <si>
    <t>C/PC</t>
  </si>
  <si>
    <t>唐逸峰</t>
  </si>
  <si>
    <t>李匡正</t>
  </si>
  <si>
    <t>歐陽弘駿</t>
  </si>
  <si>
    <t>TEEN</t>
  </si>
  <si>
    <t>彭盈盈</t>
  </si>
  <si>
    <t>陳倩怡</t>
  </si>
  <si>
    <t>Gp</t>
  </si>
  <si>
    <t>郭宇翹</t>
  </si>
  <si>
    <t>曾卓堯</t>
  </si>
  <si>
    <t>DDC/CHW</t>
  </si>
  <si>
    <t>郭溢鐿</t>
  </si>
  <si>
    <t>總主任（典禮）</t>
  </si>
  <si>
    <t>李思悦</t>
  </si>
  <si>
    <t>翁卓軒(童軍)</t>
  </si>
  <si>
    <t>童軍</t>
  </si>
  <si>
    <t>翁卓曦(童軍)</t>
  </si>
  <si>
    <t>典禮統籌主任</t>
  </si>
  <si>
    <t>吳仲軒</t>
  </si>
  <si>
    <t>ADC/CHW</t>
  </si>
  <si>
    <t>mattlam@268hkg.org</t>
  </si>
  <si>
    <t>Halal</t>
  </si>
  <si>
    <t>優異旅團統籌主任</t>
  </si>
  <si>
    <t>錢奕昇</t>
  </si>
  <si>
    <t>飯</t>
  </si>
  <si>
    <t>獎勵統籌主任</t>
  </si>
  <si>
    <t>招承希</t>
  </si>
  <si>
    <t>何瀚弘</t>
  </si>
  <si>
    <t>司儀統籌主任</t>
  </si>
  <si>
    <t>洪量傑</t>
  </si>
  <si>
    <t>Noel</t>
  </si>
  <si>
    <t>潘明珠</t>
  </si>
  <si>
    <t>SKW</t>
  </si>
  <si>
    <t>AHQ</t>
  </si>
  <si>
    <t>梁文澧</t>
  </si>
  <si>
    <t>ADC/SKW</t>
  </si>
  <si>
    <t>adc.rover@skwscout.org.hk</t>
  </si>
  <si>
    <t>總主任（會操）</t>
  </si>
  <si>
    <t>黃志樂</t>
  </si>
  <si>
    <t>步操顧問</t>
  </si>
  <si>
    <t>王明灝</t>
  </si>
  <si>
    <t>步操統籌主任</t>
  </si>
  <si>
    <t>林祥俊</t>
  </si>
  <si>
    <t>文志韜</t>
  </si>
  <si>
    <t>陳民寶</t>
  </si>
  <si>
    <t>吳冠達</t>
  </si>
  <si>
    <t>馬旌愷</t>
  </si>
  <si>
    <t>黃澍斌</t>
  </si>
  <si>
    <t>謝浩俊</t>
  </si>
  <si>
    <t>鄭志偉</t>
  </si>
  <si>
    <t>游冠文</t>
  </si>
  <si>
    <t>駱甯宜</t>
  </si>
  <si>
    <t>胡志偉</t>
  </si>
  <si>
    <t>儀仗隊 01</t>
  </si>
  <si>
    <t>儀仗隊 02</t>
  </si>
  <si>
    <t>儀仗隊 03</t>
  </si>
  <si>
    <t>儀仗隊 04</t>
  </si>
  <si>
    <t>儀仗隊 05</t>
  </si>
  <si>
    <t>儀仗隊 06</t>
  </si>
  <si>
    <t>HKS ADC (GS)</t>
  </si>
  <si>
    <t>儀仗隊 07</t>
  </si>
  <si>
    <t>儀仗隊 08</t>
  </si>
  <si>
    <t>NTER</t>
  </si>
  <si>
    <t>儀仗隊 09</t>
  </si>
  <si>
    <t>149HKG</t>
  </si>
  <si>
    <t>儀仗隊 10</t>
  </si>
  <si>
    <t>儀仗隊 11</t>
  </si>
  <si>
    <t>儀仗隊 12</t>
  </si>
  <si>
    <t>儀仗隊 13</t>
  </si>
  <si>
    <t>儀仗隊 14</t>
  </si>
  <si>
    <t>儀仗隊 15</t>
  </si>
  <si>
    <t>儀仗隊 16</t>
  </si>
  <si>
    <r>
      <rPr>
        <rFont val="PMingLiu"/>
        <b/>
        <color theme="1"/>
        <sz val="12.0"/>
      </rPr>
      <t xml:space="preserve">童軍職位
</t>
    </r>
    <r>
      <rPr>
        <rFont val="Times New Roman"/>
        <b/>
        <color theme="1"/>
        <sz val="12.0"/>
      </rPr>
      <t>(L,R,V,S)</t>
    </r>
  </si>
  <si>
    <t>S</t>
  </si>
  <si>
    <t>RS</t>
  </si>
  <si>
    <t>pannielai@hkirscout.org.hk</t>
  </si>
  <si>
    <t>副主席(服務及發展)</t>
  </si>
  <si>
    <t>138EKR</t>
  </si>
  <si>
    <t>reginali@hkirscout.org.hk</t>
  </si>
  <si>
    <t>總主任(服務及發展)</t>
  </si>
  <si>
    <t>g2832454514@gmail.com</t>
  </si>
  <si>
    <t>機構聯絡主任</t>
  </si>
  <si>
    <t>22HKG</t>
  </si>
  <si>
    <t>2nd HKG</t>
  </si>
  <si>
    <t>touzai023@gmail.com</t>
  </si>
  <si>
    <t>175th HKG</t>
  </si>
  <si>
    <t>c29050@yahoo.com.hk</t>
  </si>
  <si>
    <t>張惠敏</t>
  </si>
  <si>
    <t>np1095th@yahoo.com.hk</t>
  </si>
  <si>
    <t>鄺紀僮</t>
  </si>
  <si>
    <t>62KG</t>
  </si>
  <si>
    <t>ngyusum99@gmail.com</t>
  </si>
  <si>
    <t>5th HKG</t>
  </si>
  <si>
    <t>brianpoon1113@gmail.com</t>
  </si>
  <si>
    <t>RoverC</t>
  </si>
  <si>
    <t>duncanyuen@gmail.com</t>
  </si>
  <si>
    <t>林晉</t>
  </si>
  <si>
    <t>59STS</t>
  </si>
  <si>
    <t>林穎聰</t>
  </si>
  <si>
    <t>99 air</t>
  </si>
  <si>
    <t>HKIR Band</t>
  </si>
  <si>
    <t>温文輝</t>
  </si>
  <si>
    <t>林倩雯</t>
  </si>
  <si>
    <t>皮會</t>
  </si>
  <si>
    <t>霍慧玲</t>
  </si>
  <si>
    <t>陳俊豪</t>
  </si>
  <si>
    <t>黃偉恩</t>
  </si>
  <si>
    <t>黃慧儀</t>
  </si>
  <si>
    <t>曾家全</t>
  </si>
  <si>
    <t>素</t>
  </si>
  <si>
    <t>no lunch</t>
  </si>
  <si>
    <r>
      <rPr>
        <rFont val="PMingLiu"/>
        <b/>
        <color theme="1"/>
        <sz val="12.0"/>
      </rPr>
      <t xml:space="preserve">童軍職位
</t>
    </r>
    <r>
      <rPr>
        <rFont val="Times New Roman"/>
        <b/>
        <color theme="1"/>
        <sz val="12.0"/>
      </rPr>
      <t>(L,R,V,S)</t>
    </r>
  </si>
  <si>
    <t>1257HKG</t>
  </si>
  <si>
    <t>副主席(協調)</t>
  </si>
  <si>
    <t>鍾偉志</t>
  </si>
  <si>
    <t>總主任（協調）</t>
  </si>
  <si>
    <t>場地佈置主任</t>
  </si>
  <si>
    <t>膳食主任</t>
  </si>
  <si>
    <t>後勤主任</t>
  </si>
  <si>
    <t>物資主任</t>
  </si>
  <si>
    <t>黃嘉恩</t>
  </si>
  <si>
    <t>總主任(協調）</t>
  </si>
  <si>
    <t>秩序主任</t>
  </si>
  <si>
    <t>交通管制主任</t>
  </si>
  <si>
    <t>物流運輸主任</t>
  </si>
  <si>
    <t>袁宇靖 moved to 服務</t>
  </si>
  <si>
    <r>
      <rPr>
        <rFont val="PMingLiu"/>
        <b/>
        <color theme="1"/>
        <sz val="12.0"/>
      </rPr>
      <t xml:space="preserve">童軍職位
</t>
    </r>
    <r>
      <rPr>
        <rFont val="Times New Roman"/>
        <b/>
        <color theme="1"/>
        <sz val="12.0"/>
      </rPr>
      <t>(L,R,V,S)</t>
    </r>
  </si>
  <si>
    <t>DCSL/SKW</t>
  </si>
  <si>
    <t xml:space="preserve">港島童軍繽紛日2026
組織架構圖 </t>
  </si>
  <si>
    <t>alantsui2005@gmail.com</t>
  </si>
  <si>
    <t>副主席(行政)</t>
  </si>
  <si>
    <t>Establishment</t>
  </si>
  <si>
    <t>文幹皓</t>
  </si>
  <si>
    <t>Strength</t>
  </si>
  <si>
    <t>DDC/SKW</t>
  </si>
  <si>
    <t>ddc.admin@skwscout.org.hk</t>
  </si>
  <si>
    <t>總主任(運作)</t>
  </si>
  <si>
    <t>playerkousas@hotmail.com</t>
  </si>
  <si>
    <t>總主任(行政)</t>
  </si>
  <si>
    <t>陳銘彥</t>
  </si>
  <si>
    <t>50HKG</t>
  </si>
  <si>
    <t>dc@skwscout.org.hk</t>
  </si>
  <si>
    <t>旅團報到主任</t>
  </si>
  <si>
    <t>副主席
（會操及典禮）</t>
  </si>
  <si>
    <t>adc.venture@skwscout.org.hk</t>
  </si>
  <si>
    <t>總主任
（會操）</t>
  </si>
  <si>
    <t>紀念品主任</t>
  </si>
  <si>
    <t>會操司令員</t>
  </si>
  <si>
    <t>會操顧問</t>
  </si>
  <si>
    <t>tinyan.choi@gmail.com</t>
  </si>
  <si>
    <t>財政主任</t>
  </si>
  <si>
    <t>clive206@yahoo.com.hk</t>
  </si>
  <si>
    <t>黃偉安
何家騏</t>
  </si>
  <si>
    <t>EAT</t>
  </si>
  <si>
    <t>總主任
（典禮）</t>
  </si>
  <si>
    <t>優異旅團
統籌主任</t>
  </si>
  <si>
    <t>危曉晴</t>
  </si>
  <si>
    <t>朱彥南</t>
  </si>
  <si>
    <t>范紫晴, 林卓衡</t>
  </si>
  <si>
    <t>副主席
（主題節目）</t>
  </si>
  <si>
    <t>總主任 
（主題節目）</t>
  </si>
  <si>
    <t>節目主任
（1）</t>
  </si>
  <si>
    <t>陳日雪</t>
  </si>
  <si>
    <t>節目主任
（2）</t>
  </si>
  <si>
    <t>節目主任
（3）</t>
  </si>
  <si>
    <t>節目主任
（4）</t>
  </si>
  <si>
    <t>節目主任
（5）</t>
  </si>
  <si>
    <t>陳后嘉</t>
  </si>
  <si>
    <t>鄭樂勤</t>
  </si>
  <si>
    <t>206hkg@hkirscout.org.hk</t>
  </si>
  <si>
    <t>林蓓虹</t>
  </si>
  <si>
    <t>副主席
（品牌推廣）</t>
  </si>
  <si>
    <t>總主任 
（品牌推廣）</t>
  </si>
  <si>
    <t>陳培芬</t>
  </si>
  <si>
    <t>社交媒體主任</t>
  </si>
  <si>
    <t>拍攝/攝錄
統籌主任</t>
  </si>
  <si>
    <t>joseph8149@gmail.com</t>
  </si>
  <si>
    <t>方敏聰</t>
  </si>
  <si>
    <t>副主席
（嘉賓接待）</t>
  </si>
  <si>
    <t>總主任 
（嘉賓接待）</t>
  </si>
  <si>
    <t>副主席
（協調）</t>
  </si>
  <si>
    <t>總主任
（協調）</t>
  </si>
  <si>
    <t>副主席
（服務及發展）</t>
  </si>
  <si>
    <t>總主任 
（服務及發展）</t>
  </si>
  <si>
    <t>服務主任</t>
  </si>
  <si>
    <t>發展主任</t>
  </si>
  <si>
    <t>募捐主任</t>
  </si>
  <si>
    <t>副主席
（行政）</t>
  </si>
  <si>
    <t>總主任
(運作)</t>
  </si>
  <si>
    <t>危機處理主任</t>
  </si>
  <si>
    <t>總主任
(行政)</t>
  </si>
  <si>
    <t>行政主任</t>
  </si>
  <si>
    <t>參事主任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</si>
</sst>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D/M/YYYY"/>
  </numFmts>
  <fonts count="56">
    <font>
      <sz val="11.0"/>
      <color theme="1"/>
      <name val="PMingLiu"/>
      <scheme val="minor"/>
    </font>
    <font>
      <sz val="12.0"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color theme="1"/>
      <name val="PMingLiu"/>
      <scheme val="minor"/>
    </font>
    <font>
      <b/>
      <color theme="1"/>
      <name val="PMingLiu"/>
      <scheme val="minor"/>
    </font>
    <font>
      <b/>
      <sz val="12.0"/>
      <color theme="1"/>
      <name val="Microsoft JhengHei"/>
    </font>
    <font>
      <sz val="12.0"/>
      <color theme="1"/>
      <name val="Microsoft JhengHei"/>
    </font>
    <font>
      <b/>
      <sz val="12.0"/>
      <color theme="1"/>
      <name val="PMingLiu"/>
    </font>
    <font>
      <b/>
      <sz val="12.0"/>
      <color theme="1"/>
      <name val="MingLiu"/>
    </font>
    <font>
      <sz val="12.0"/>
      <color theme="4"/>
      <name val="Times New Roman"/>
    </font>
    <font>
      <sz val="12.0"/>
      <color theme="1"/>
      <name val="PMingLiu"/>
    </font>
    <font>
      <color rgb="FF000000"/>
      <name val="Times New Roman"/>
    </font>
    <font>
      <color rgb="FFFF0000"/>
      <name val="Times New Roman"/>
    </font>
    <font>
      <sz val="12.0"/>
      <color rgb="FF000000"/>
      <name val="Times New Roman"/>
    </font>
    <font>
      <sz val="12.0"/>
      <color rgb="FF4472C4"/>
      <name val="Times New Roman"/>
    </font>
    <font>
      <color theme="1"/>
      <name val="Microsoft JhengHei"/>
    </font>
    <font>
      <sz val="12.0"/>
      <color rgb="FF4472C4"/>
      <name val="MingLiu"/>
    </font>
    <font>
      <sz val="12.0"/>
      <color theme="4"/>
      <name val="MingLiu"/>
    </font>
    <font>
      <sz val="12.0"/>
      <color rgb="FF000000"/>
      <name val="Microsoft JhengHei"/>
    </font>
    <font>
      <b/>
      <color rgb="FF0000FF"/>
      <name val="Times New Roman"/>
    </font>
    <font>
      <b/>
      <sz val="12.0"/>
      <color rgb="FF000000"/>
      <name val="Times New Roman"/>
    </font>
    <font>
      <sz val="12.0"/>
      <color theme="4"/>
      <name val="PMingLiu"/>
    </font>
    <font>
      <sz val="10.0"/>
      <color theme="1"/>
      <name val="Times New Roman"/>
    </font>
    <font>
      <sz val="12.0"/>
      <color rgb="FF00B0F0"/>
      <name val="Times New Roman"/>
    </font>
    <font>
      <b/>
      <color theme="1"/>
      <name val="Times New Roman"/>
    </font>
    <font>
      <sz val="12.0"/>
      <color rgb="FFCC0000"/>
      <name val="Times New Roman"/>
    </font>
    <font>
      <color rgb="FFCC0000"/>
      <name val="PMingLiu"/>
      <scheme val="minor"/>
    </font>
    <font>
      <sz val="12.0"/>
      <color rgb="FFFF9900"/>
      <name val="Times New Roman"/>
    </font>
    <font>
      <sz val="12.0"/>
      <color rgb="FFFF00FF"/>
      <name val="Times New Roman"/>
    </font>
    <font>
      <color rgb="FFFF00FF"/>
      <name val="PMingLiu"/>
      <scheme val="minor"/>
    </font>
    <font>
      <sz val="12.0"/>
      <color rgb="FF9900FF"/>
      <name val="Times New Roman"/>
    </font>
    <font>
      <sz val="12.0"/>
      <color rgb="FF92D050"/>
      <name val="Times New Roman"/>
    </font>
    <font>
      <sz val="12.0"/>
      <color rgb="FF6AA84F"/>
      <name val="Times New Roman"/>
    </font>
    <font>
      <sz val="12.0"/>
      <color rgb="FF4472C4"/>
      <name val="PMingLiu"/>
    </font>
    <font>
      <sz val="12.0"/>
      <color theme="1"/>
      <name val="MingLiu"/>
    </font>
    <font>
      <b/>
      <sz val="10.0"/>
      <color theme="1"/>
      <name val="PMingLiu"/>
    </font>
    <font>
      <b/>
      <sz val="11.0"/>
      <color theme="1"/>
      <name val="Times New Roman"/>
    </font>
    <font>
      <sz val="12.0"/>
      <color rgb="FF00B0F0"/>
      <name val="MingLiu"/>
    </font>
    <font>
      <sz val="12.0"/>
      <color theme="1"/>
      <name val="Arial"/>
    </font>
    <font>
      <b/>
      <sz val="18.0"/>
      <color rgb="FF000000"/>
      <name val="Microsoft JhengHei"/>
    </font>
    <font>
      <sz val="8.0"/>
      <color rgb="FF0000FF"/>
      <name val="Microsoft JhengHei"/>
    </font>
    <font>
      <sz val="8.0"/>
      <color rgb="FF9900FF"/>
      <name val="Microsoft JhengHei"/>
    </font>
    <font>
      <b/>
      <sz val="14.0"/>
      <color rgb="FF000000"/>
      <name val="Microsoft JhengHei"/>
    </font>
    <font>
      <b/>
      <sz val="10.0"/>
      <color rgb="FFFF0000"/>
      <name val="Microsoft JhengHei"/>
    </font>
    <font>
      <sz val="12.0"/>
      <color rgb="FF0000FF"/>
      <name val="Microsoft JhengHei"/>
    </font>
    <font>
      <sz val="12.0"/>
      <color rgb="FF9900FF"/>
      <name val="Microsoft JhengHei"/>
    </font>
    <font>
      <i/>
      <sz val="12.0"/>
      <color rgb="FF000000"/>
      <name val="Microsoft JhengHei"/>
    </font>
    <font>
      <i/>
      <sz val="12.0"/>
      <color theme="1"/>
      <name val="PMingLiu"/>
    </font>
    <font>
      <b/>
      <sz val="12.0"/>
      <color rgb="FF000000"/>
      <name val="Microsoft JhengHei"/>
    </font>
    <font>
      <b/>
      <sz val="12.0"/>
      <color rgb="FF000000"/>
      <name val="PMingLiu"/>
    </font>
    <font>
      <b/>
      <color theme="1"/>
      <name val="PMingLiu"/>
    </font>
    <font>
      <sz val="12.0"/>
      <color rgb="FF000000"/>
      <name val="Calibri"/>
    </font>
    <font>
      <sz val="12.0"/>
      <color rgb="FF00B0F0"/>
      <name val="PMingLiu"/>
    </font>
    <font>
      <sz val="12.0"/>
      <color rgb="FF0000FF"/>
      <name val="PMingLiu"/>
    </font>
    <font>
      <sz val="12.0"/>
      <color rgb="FF9900FF"/>
      <name val="PMingLiu"/>
    </font>
  </fonts>
  <fills count="2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CCFFFF"/>
        <bgColor rgb="FFCCFFFF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CCCC"/>
        <bgColor rgb="FFFFCCCC"/>
      </patternFill>
    </fill>
    <fill>
      <patternFill patternType="solid">
        <fgColor rgb="FFD9E2F3"/>
        <bgColor rgb="FFD9E2F3"/>
      </patternFill>
    </fill>
    <fill>
      <patternFill patternType="solid">
        <fgColor rgb="FF99FFCC"/>
        <bgColor rgb="FF99FFCC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9900FF"/>
      </bottom>
    </border>
    <border>
      <top style="medium">
        <color rgb="FF6D9EEB"/>
      </top>
    </border>
    <border>
      <top style="medium">
        <color rgb="FFEA9999"/>
      </top>
    </border>
    <border>
      <top style="medium">
        <color rgb="FF92D050"/>
      </top>
    </border>
    <border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000000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bottom style="medium">
        <color rgb="FFCCCCCC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1" vertical="bottom" wrapText="0"/>
    </xf>
    <xf borderId="1" fillId="0" fontId="2" numFmtId="0" xfId="0" applyAlignment="1" applyBorder="1" applyFont="1">
      <alignment readingOrder="0" vertical="center"/>
    </xf>
    <xf borderId="2" fillId="2" fontId="3" numFmtId="0" xfId="0" applyAlignment="1" applyBorder="1" applyFill="1" applyFont="1">
      <alignment horizontal="left" shrinkToFit="1" vertical="top" wrapText="0"/>
    </xf>
    <xf borderId="1" fillId="0" fontId="2" numFmtId="0" xfId="0" applyAlignment="1" applyBorder="1" applyFont="1">
      <alignment vertical="center"/>
    </xf>
    <xf borderId="1" fillId="3" fontId="4" numFmtId="0" xfId="0" applyAlignment="1" applyBorder="1" applyFill="1" applyFont="1">
      <alignment vertical="center"/>
    </xf>
    <xf borderId="1" fillId="3" fontId="5" numFmtId="0" xfId="0" applyAlignment="1" applyBorder="1" applyFill="1" applyFont="1">
      <alignment horizontal="center" readingOrder="0" vertical="center"/>
    </xf>
    <xf borderId="2" fillId="2" fontId="6" numFmtId="0" xfId="0" applyAlignment="1" applyBorder="1" applyFill="1" applyFont="1">
      <alignment horizontal="left" shrinkToFit="1" vertical="top" wrapText="0"/>
    </xf>
    <xf borderId="2" fillId="2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7" numFmtId="0" xfId="0" applyAlignment="1" applyBorder="1" applyFill="1" applyFont="1">
      <alignment horizontal="left" readingOrder="0" shrinkToFit="1" vertical="bottom" wrapText="0"/>
    </xf>
    <xf borderId="1" fillId="3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3" fillId="4" fontId="3" numFmtId="0" xfId="0" applyAlignment="1" applyBorder="1" applyFill="1" applyFont="1">
      <alignment horizontal="left" shrinkToFit="1" vertical="center" wrapText="0"/>
    </xf>
    <xf borderId="2" fillId="2" fontId="8" numFmtId="0" xfId="0" applyAlignment="1" applyBorder="1" applyFill="1" applyFont="1">
      <alignment horizontal="left" shrinkToFit="0" vertical="top" wrapText="1"/>
    </xf>
    <xf borderId="1" fillId="0" fontId="1" numFmtId="0" xfId="0" applyAlignment="1" applyBorder="1" applyFont="1">
      <alignment horizontal="left" shrinkToFit="1" vertical="bottom" wrapText="0"/>
    </xf>
    <xf borderId="3" fillId="4" fontId="9" numFmtId="0" xfId="0" applyAlignment="1" applyBorder="1" applyFill="1" applyFont="1">
      <alignment horizontal="left" shrinkToFit="1" vertical="center" wrapText="0"/>
    </xf>
    <xf borderId="1" fillId="0" fontId="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shrinkToFit="1" vertical="top" wrapText="0"/>
    </xf>
    <xf borderId="1" fillId="0" fontId="1" numFmtId="0" xfId="0" applyAlignment="1" applyBorder="1" applyFont="1">
      <alignment horizontal="left" readingOrder="0" shrinkToFit="1" vertical="bottom" wrapText="0"/>
    </xf>
    <xf borderId="1" fillId="3" fontId="4" numFmtId="0" xfId="0" applyAlignment="1" applyBorder="1" applyFill="1" applyFont="1">
      <alignment readingOrder="0" vertical="center"/>
    </xf>
    <xf borderId="0" fillId="0" fontId="1" numFmtId="0" xfId="0" applyAlignment="1" applyFont="1">
      <alignment horizontal="left" shrinkToFit="1" vertical="top" wrapText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1" numFmtId="0" xfId="0" applyAlignment="1" applyFont="1">
      <alignment shrinkToFit="1" vertical="bottom" wrapText="0"/>
    </xf>
    <xf borderId="0" fillId="0" fontId="1" numFmtId="0" xfId="0" applyAlignment="1" applyFont="1">
      <alignment shrinkToFit="0" vertical="center" wrapText="1"/>
    </xf>
    <xf borderId="1" fillId="3" fontId="12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left" shrinkToFit="1" vertical="bottom" wrapText="0"/>
    </xf>
    <xf borderId="1" fillId="3" fontId="13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left" shrinkToFit="1" vertical="bottom" wrapText="0"/>
    </xf>
    <xf borderId="0" fillId="0" fontId="2" numFmtId="0" xfId="0" applyAlignment="1" applyFont="1">
      <alignment horizontal="center" readingOrder="0" vertical="center"/>
    </xf>
    <xf borderId="1" fillId="0" fontId="14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horizontal="left" shrinkToFit="1" vertical="bottom" wrapText="0"/>
    </xf>
    <xf borderId="0" fillId="0" fontId="14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left" shrinkToFit="1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1" fillId="5" fontId="1" numFmtId="0" xfId="0" applyAlignment="1" applyBorder="1" applyFill="1" applyFont="1">
      <alignment horizontal="left" readingOrder="0" shrinkToFit="1" vertical="bottom" wrapText="0"/>
    </xf>
    <xf borderId="5" fillId="0" fontId="1" numFmtId="0" xfId="0" applyAlignment="1" applyBorder="1" applyFont="1">
      <alignment horizontal="left" readingOrder="0" shrinkToFit="1" vertical="bottom" wrapText="0"/>
    </xf>
    <xf borderId="4" fillId="0" fontId="1" numFmtId="0" xfId="0" applyAlignment="1" applyBorder="1" applyFont="1">
      <alignment horizontal="left" readingOrder="0" shrinkToFit="1" vertical="bottom" wrapText="0"/>
    </xf>
    <xf borderId="3" fillId="5" fontId="7" numFmtId="0" xfId="0" applyAlignment="1" applyBorder="1" applyFill="1" applyFont="1">
      <alignment horizontal="left" shrinkToFit="1" vertical="bottom" wrapText="0"/>
    </xf>
    <xf borderId="1" fillId="0" fontId="15" numFmtId="0" xfId="0" applyAlignment="1" applyBorder="1" applyFont="1">
      <alignment horizontal="left" readingOrder="0" shrinkToFit="1" vertical="bottom" wrapText="0"/>
    </xf>
    <xf borderId="1" fillId="5" fontId="14" numFmtId="0" xfId="0" applyAlignment="1" applyBorder="1" applyFill="1" applyFont="1">
      <alignment horizontal="left" readingOrder="0" shrinkToFit="1" vertical="bottom" wrapText="0"/>
    </xf>
    <xf borderId="0" fillId="0" fontId="1" numFmtId="0" xfId="0" applyAlignment="1" applyFont="1">
      <alignment horizontal="right" readingOrder="0" vertical="center"/>
    </xf>
    <xf borderId="0" fillId="6" fontId="2" numFmtId="0" xfId="0" applyAlignment="1" applyFill="1" applyFont="1">
      <alignment horizontal="center" readingOrder="0" vertical="center"/>
    </xf>
    <xf borderId="3" fillId="5" fontId="1" numFmtId="0" xfId="0" applyAlignment="1" applyBorder="1" applyFill="1" applyFont="1">
      <alignment horizontal="left" shrinkToFit="1" vertical="bottom" wrapText="0"/>
    </xf>
    <xf borderId="0" fillId="7" fontId="12" numFmtId="0" xfId="0" applyAlignment="1" applyFill="1" applyFont="1">
      <alignment horizontal="center" readingOrder="0" vertical="center"/>
    </xf>
    <xf borderId="1" fillId="0" fontId="7" numFmtId="0" xfId="0" applyAlignment="1" applyBorder="1" applyFont="1">
      <alignment horizontal="left" shrinkToFit="1" vertical="bottom" wrapText="0"/>
    </xf>
    <xf borderId="0" fillId="0" fontId="1" numFmtId="0" xfId="0" applyAlignment="1" applyFont="1">
      <alignment horizontal="center" vertical="center"/>
    </xf>
    <xf borderId="0" fillId="7" fontId="16" numFmtId="0" xfId="0" applyAlignment="1" applyFill="1" applyFont="1">
      <alignment horizontal="center" vertical="center"/>
    </xf>
    <xf borderId="6" fillId="0" fontId="1" numFmtId="0" xfId="0" applyAlignment="1" applyBorder="1" applyFont="1">
      <alignment horizontal="left" shrinkToFit="1" vertical="bottom" wrapText="0"/>
    </xf>
    <xf borderId="7" fillId="0" fontId="17" numFmtId="0" xfId="0" applyAlignment="1" applyBorder="1" applyFont="1">
      <alignment horizontal="left" readingOrder="0" shrinkToFit="1" vertical="bottom" wrapText="0"/>
    </xf>
    <xf borderId="0" fillId="6" fontId="2" numFmtId="0" xfId="0" applyAlignment="1" applyFill="1" applyFont="1">
      <alignment horizontal="center" vertical="center"/>
    </xf>
    <xf borderId="8" fillId="0" fontId="18" numFmtId="0" xfId="0" applyAlignment="1" applyBorder="1" applyFont="1">
      <alignment horizontal="left" shrinkToFit="1" vertical="bottom" wrapText="0"/>
    </xf>
    <xf borderId="8" fillId="0" fontId="17" numFmtId="0" xfId="0" applyAlignment="1" applyBorder="1" applyFont="1">
      <alignment horizontal="left" readingOrder="0" shrinkToFit="1" vertical="bottom" wrapText="0"/>
    </xf>
    <xf borderId="3" fillId="0" fontId="1" numFmtId="0" xfId="0" applyAlignment="1" applyBorder="1" applyFont="1">
      <alignment horizontal="left" shrinkToFit="1" vertical="bottom" wrapText="0"/>
    </xf>
    <xf borderId="1" fillId="0" fontId="19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horizontal="left" vertical="center"/>
    </xf>
    <xf borderId="0" fillId="7" fontId="13" numFmtId="0" xfId="0" applyAlignment="1" applyFill="1" applyFont="1">
      <alignment horizontal="center" vertical="center"/>
    </xf>
    <xf borderId="1" fillId="3" fontId="1" numFmtId="0" xfId="0" applyAlignment="1" applyBorder="1" applyFill="1" applyFont="1">
      <alignment horizontal="left" readingOrder="0" shrinkToFit="1" vertical="bottom" wrapText="0"/>
    </xf>
    <xf borderId="9" fillId="5" fontId="7" numFmtId="0" xfId="0" applyAlignment="1" applyBorder="1" applyFill="1" applyFont="1">
      <alignment horizontal="left" shrinkToFit="1" vertical="bottom" wrapText="0"/>
    </xf>
    <xf borderId="0" fillId="6" fontId="20" numFmtId="0" xfId="0" applyAlignment="1" applyFill="1" applyFont="1">
      <alignment horizontal="center" vertical="center"/>
    </xf>
    <xf borderId="10" fillId="5" fontId="1" numFmtId="0" xfId="0" applyAlignment="1" applyBorder="1" applyFill="1" applyFont="1">
      <alignment horizontal="left" shrinkToFit="1" vertical="bottom" wrapText="0"/>
    </xf>
    <xf borderId="0" fillId="7" fontId="12" numFmtId="0" xfId="0" applyAlignment="1" applyFill="1" applyFont="1">
      <alignment horizontal="center" vertical="center"/>
    </xf>
    <xf borderId="9" fillId="5" fontId="1" numFmtId="0" xfId="0" applyAlignment="1" applyBorder="1" applyFill="1" applyFont="1">
      <alignment horizontal="left" shrinkToFit="1" vertical="bottom" wrapText="0"/>
    </xf>
    <xf borderId="0" fillId="0" fontId="21" numFmtId="0" xfId="0" applyAlignment="1" applyFont="1">
      <alignment horizontal="center" vertical="center"/>
    </xf>
    <xf borderId="3" fillId="0" fontId="1" numFmtId="0" xfId="0" applyAlignment="1" applyBorder="1" applyFont="1">
      <alignment horizontal="left" readingOrder="0" shrinkToFit="1" vertical="bottom" wrapText="0"/>
    </xf>
    <xf borderId="4" fillId="0" fontId="1" numFmtId="0" xfId="0" applyAlignment="1" applyBorder="1" applyFont="1">
      <alignment shrinkToFit="1" vertical="bottom" wrapText="0"/>
    </xf>
    <xf borderId="1" fillId="8" fontId="1" numFmtId="0" xfId="0" applyAlignment="1" applyBorder="1" applyFill="1" applyFont="1">
      <alignment horizontal="left" shrinkToFit="1" vertical="bottom" wrapText="0"/>
    </xf>
    <xf borderId="0" fillId="0" fontId="14" numFmtId="0" xfId="0" applyAlignment="1" applyFont="1">
      <alignment horizontal="center" vertical="center"/>
    </xf>
    <xf borderId="11" fillId="0" fontId="10" numFmtId="0" xfId="0" applyAlignment="1" applyBorder="1" applyFont="1">
      <alignment horizontal="left" shrinkToFit="1" vertical="bottom" wrapText="0"/>
    </xf>
    <xf borderId="1" fillId="8" fontId="14" numFmtId="0" xfId="0" applyAlignment="1" applyBorder="1" applyFill="1" applyFont="1">
      <alignment horizontal="left" vertical="center"/>
    </xf>
    <xf borderId="1" fillId="5" fontId="14" numFmtId="0" xfId="0" applyAlignment="1" applyBorder="1" applyFill="1" applyFont="1">
      <alignment horizontal="left" readingOrder="0" vertical="center"/>
    </xf>
    <xf borderId="1" fillId="0" fontId="1" numFmtId="0" xfId="0" applyAlignment="1" applyBorder="1" applyFont="1">
      <alignment shrinkToFit="1" vertical="bottom" wrapText="0"/>
    </xf>
    <xf borderId="12" fillId="0" fontId="1" numFmtId="0" xfId="0" applyAlignment="1" applyBorder="1" applyFont="1">
      <alignment horizontal="left" shrinkToFit="1" vertical="bottom" wrapText="0"/>
    </xf>
    <xf borderId="1" fillId="8" fontId="2" numFmtId="0" xfId="0" applyAlignment="1" applyBorder="1" applyFill="1" applyFont="1">
      <alignment readingOrder="0" vertical="center"/>
    </xf>
    <xf borderId="13" fillId="5" fontId="1" numFmtId="0" xfId="0" applyAlignment="1" applyBorder="1" applyFill="1" applyFont="1">
      <alignment horizontal="left" shrinkToFit="1" vertical="bottom" wrapText="0"/>
    </xf>
    <xf borderId="1" fillId="0" fontId="22" numFmtId="0" xfId="0" applyAlignment="1" applyBorder="1" applyFont="1">
      <alignment horizontal="left" shrinkToFit="1" vertical="bottom" wrapText="0"/>
    </xf>
    <xf borderId="1" fillId="5" fontId="14" numFmtId="0" xfId="0" applyAlignment="1" applyBorder="1" applyFill="1" applyFont="1">
      <alignment horizontal="left" vertical="center"/>
    </xf>
    <xf borderId="7" fillId="0" fontId="10" numFmtId="0" xfId="0" applyAlignment="1" applyBorder="1" applyFont="1">
      <alignment horizontal="left" shrinkToFit="1" vertical="bottom" wrapText="0"/>
    </xf>
    <xf borderId="1" fillId="5" fontId="2" numFmtId="0" xfId="0" applyAlignment="1" applyBorder="1" applyFill="1" applyFont="1">
      <alignment horizontal="left" readingOrder="0" vertical="center"/>
    </xf>
    <xf borderId="0" fillId="0" fontId="10" numFmtId="0" xfId="0" applyAlignment="1" applyFont="1">
      <alignment horizontal="left" shrinkToFit="1" vertical="bottom" wrapText="0"/>
    </xf>
    <xf borderId="1" fillId="5" fontId="7" numFmtId="0" xfId="0" applyAlignment="1" applyBorder="1" applyFill="1" applyFont="1">
      <alignment horizontal="left" readingOrder="0" shrinkToFit="1" vertical="bottom" wrapText="0"/>
    </xf>
    <xf borderId="13" fillId="5" fontId="1" numFmtId="0" xfId="0" applyAlignment="1" applyBorder="1" applyFill="1" applyFont="1">
      <alignment horizontal="left" readingOrder="0" shrinkToFit="1" vertical="bottom" wrapText="0"/>
    </xf>
    <xf borderId="1" fillId="8" fontId="1" numFmtId="0" xfId="0" applyAlignment="1" applyBorder="1" applyFill="1" applyFont="1">
      <alignment horizontal="left" readingOrder="0" shrinkToFit="1" vertical="bottom" wrapText="0"/>
    </xf>
    <xf borderId="1" fillId="5" fontId="19" numFmtId="0" xfId="0" applyAlignment="1" applyBorder="1" applyFill="1" applyFont="1">
      <alignment horizontal="left" readingOrder="0" shrinkToFit="1" vertical="bottom" wrapText="0"/>
    </xf>
    <xf borderId="11" fillId="5" fontId="1" numFmtId="0" xfId="0" applyAlignment="1" applyBorder="1" applyFill="1" applyFont="1">
      <alignment horizontal="left" readingOrder="0" shrinkToFit="1" vertical="bottom" wrapText="0"/>
    </xf>
    <xf borderId="1" fillId="3" fontId="14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vertical="center"/>
    </xf>
    <xf borderId="1" fillId="3" fontId="1" numFmtId="0" xfId="0" applyAlignment="1" applyBorder="1" applyFill="1" applyFont="1">
      <alignment horizontal="left" shrinkToFit="1" vertical="bottom" wrapText="0"/>
    </xf>
    <xf borderId="1" fillId="3" fontId="2" numFmtId="0" xfId="0" applyAlignment="1" applyBorder="1" applyFill="1" applyFont="1">
      <alignment horizontal="left" readingOrder="0" vertical="center"/>
    </xf>
    <xf borderId="1" fillId="0" fontId="1" numFmtId="0" xfId="0" applyAlignment="1" applyBorder="1" applyFont="1">
      <alignment readingOrder="0" vertical="center"/>
    </xf>
    <xf borderId="1" fillId="9" fontId="1" numFmtId="0" xfId="0" applyAlignment="1" applyBorder="1" applyFill="1" applyFont="1">
      <alignment horizontal="left" shrinkToFit="1" vertical="bottom" wrapText="0"/>
    </xf>
    <xf borderId="14" fillId="6" fontId="2" numFmtId="0" xfId="0" applyAlignment="1" applyBorder="1" applyFill="1" applyFont="1">
      <alignment horizontal="center" vertical="center"/>
    </xf>
    <xf borderId="7" fillId="0" fontId="7" numFmtId="0" xfId="0" applyAlignment="1" applyBorder="1" applyFont="1">
      <alignment horizontal="left" readingOrder="0" shrinkToFit="1" vertical="bottom" wrapText="0"/>
    </xf>
    <xf borderId="11" fillId="0" fontId="1" numFmtId="0" xfId="0" applyAlignment="1" applyBorder="1" applyFont="1">
      <alignment horizontal="left" shrinkToFit="1" vertical="bottom" wrapText="0"/>
    </xf>
    <xf borderId="1" fillId="0" fontId="1" numFmtId="0" xfId="0" applyAlignment="1" applyBorder="1" applyFont="1">
      <alignment horizontal="left" vertical="center"/>
    </xf>
    <xf borderId="0" fillId="10" fontId="2" numFmtId="0" xfId="0" applyAlignment="1" applyFill="1" applyFont="1">
      <alignment horizontal="center" vertical="center"/>
    </xf>
    <xf borderId="0" fillId="7" fontId="13" numFmtId="0" xfId="0" applyAlignment="1" applyFill="1" applyFont="1">
      <alignment horizontal="center" readingOrder="0" vertical="center"/>
    </xf>
    <xf borderId="0" fillId="10" fontId="23" numFmtId="0" xfId="0" applyAlignment="1" applyFill="1" applyFont="1">
      <alignment horizontal="center" readingOrder="0" vertical="center"/>
    </xf>
    <xf borderId="0" fillId="11" fontId="12" numFmtId="0" xfId="0" applyAlignment="1" applyFill="1" applyFont="1">
      <alignment horizontal="center" readingOrder="0" vertical="center"/>
    </xf>
    <xf borderId="1" fillId="0" fontId="14" numFmtId="0" xfId="0" applyAlignment="1" applyBorder="1" applyFont="1">
      <alignment readingOrder="0" vertical="center"/>
    </xf>
    <xf borderId="1" fillId="3" fontId="21" numFmtId="0" xfId="0" applyAlignment="1" applyBorder="1" applyFill="1" applyFont="1">
      <alignment horizontal="left" readingOrder="0" vertical="center"/>
    </xf>
    <xf borderId="15" fillId="12" fontId="23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shrinkToFit="1" vertical="bottom" wrapText="0"/>
    </xf>
    <xf borderId="0" fillId="0" fontId="24" numFmtId="0" xfId="0" applyAlignment="1" applyFont="1">
      <alignment horizontal="right" vertical="center"/>
    </xf>
    <xf borderId="5" fillId="5" fontId="1" numFmtId="0" xfId="0" applyAlignment="1" applyBorder="1" applyFill="1" applyFont="1">
      <alignment horizontal="left" readingOrder="0" shrinkToFit="1" vertical="bottom" wrapText="0"/>
    </xf>
    <xf borderId="1" fillId="0" fontId="25" numFmtId="0" xfId="0" applyAlignment="1" applyBorder="1" applyFont="1">
      <alignment readingOrder="0" vertical="center"/>
    </xf>
    <xf borderId="0" fillId="12" fontId="2" numFmtId="0" xfId="0" applyAlignment="1" applyFill="1" applyFont="1">
      <alignment horizontal="center" vertical="center"/>
    </xf>
    <xf borderId="0" fillId="0" fontId="24" numFmtId="0" xfId="0" applyAlignment="1" applyFont="1">
      <alignment horizontal="left" vertical="center"/>
    </xf>
    <xf borderId="1" fillId="0" fontId="3" numFmtId="0" xfId="0" applyAlignment="1" applyBorder="1" applyFont="1">
      <alignment readingOrder="0" vertical="center"/>
    </xf>
    <xf borderId="0" fillId="0" fontId="11" numFmtId="0" xfId="0" applyAlignment="1" applyFont="1">
      <alignment horizontal="left" shrinkToFit="1" vertical="bottom" wrapText="0"/>
    </xf>
    <xf borderId="5" fillId="3" fontId="1" numFmtId="0" xfId="0" applyAlignment="1" applyBorder="1" applyFill="1" applyFont="1">
      <alignment horizontal="left" readingOrder="0" shrinkToFit="1" vertical="bottom" wrapText="0"/>
    </xf>
    <xf borderId="0" fillId="12" fontId="23" numFmtId="0" xfId="0" applyAlignment="1" applyFill="1" applyFont="1">
      <alignment horizontal="center" readingOrder="0" vertical="center"/>
    </xf>
    <xf borderId="16" fillId="13" fontId="2" numFmtId="0" xfId="0" applyAlignment="1" applyBorder="1" applyFill="1" applyFont="1">
      <alignment horizontal="center" vertical="center"/>
    </xf>
    <xf borderId="0" fillId="7" fontId="12" numFmtId="0" xfId="0" applyAlignment="1" applyFill="1" applyFont="1">
      <alignment horizontal="center" vertical="center"/>
    </xf>
    <xf borderId="0" fillId="0" fontId="24" numFmtId="0" xfId="0" applyAlignment="1" applyFont="1">
      <alignment horizontal="right" readingOrder="0" vertical="center"/>
    </xf>
    <xf borderId="0" fillId="13" fontId="2" numFmtId="0" xfId="0" applyAlignment="1" applyFill="1" applyFont="1">
      <alignment horizontal="center" vertical="center"/>
    </xf>
    <xf borderId="0" fillId="0" fontId="26" numFmtId="0" xfId="0" applyAlignment="1" applyFont="1">
      <alignment horizontal="right" readingOrder="0" shrinkToFit="1" vertical="bottom" wrapText="0"/>
    </xf>
    <xf borderId="0" fillId="0" fontId="27" numFmtId="0" xfId="0" applyAlignment="1" applyFont="1">
      <alignment horizontal="left" vertical="center"/>
    </xf>
    <xf borderId="1" fillId="5" fontId="12" numFmtId="0" xfId="0" applyAlignment="1" applyBorder="1" applyFill="1" applyFont="1">
      <alignment horizontal="left" readingOrder="0" vertical="center"/>
    </xf>
    <xf borderId="1" fillId="0" fontId="4" numFmtId="0" xfId="0" applyAlignment="1" applyBorder="1" applyFont="1">
      <alignment readingOrder="0" vertical="center"/>
    </xf>
    <xf borderId="0" fillId="14" fontId="2" numFmtId="0" xfId="0" applyAlignment="1" applyFill="1" applyFont="1">
      <alignment horizontal="center" vertical="center"/>
    </xf>
    <xf borderId="1" fillId="6" fontId="1" numFmtId="0" xfId="0" applyAlignment="1" applyBorder="1" applyFill="1" applyFont="1">
      <alignment shrinkToFit="1" vertical="bottom" wrapText="0"/>
    </xf>
    <xf borderId="1" fillId="6" fontId="1" numFmtId="0" xfId="0" applyAlignment="1" applyBorder="1" applyFill="1" applyFont="1">
      <alignment horizontal="left" shrinkToFit="1" vertical="bottom" wrapText="0"/>
    </xf>
    <xf borderId="1" fillId="6" fontId="1" numFmtId="0" xfId="0" applyAlignment="1" applyBorder="1" applyFill="1" applyFont="1">
      <alignment horizontal="left" readingOrder="0" shrinkToFit="1" vertical="bottom" wrapText="0"/>
    </xf>
    <xf borderId="1" fillId="0" fontId="1" numFmtId="0" xfId="0" applyAlignment="1" applyBorder="1" applyFont="1">
      <alignment horizontal="center" readingOrder="0" shrinkToFit="1" vertical="bottom" wrapText="0"/>
    </xf>
    <xf borderId="1" fillId="0" fontId="1" numFmtId="0" xfId="0" applyAlignment="1" applyBorder="1" applyFont="1">
      <alignment horizontal="center" shrinkToFit="1" vertical="bottom" wrapText="0"/>
    </xf>
    <xf borderId="1" fillId="0" fontId="11" numFmtId="0" xfId="0" applyAlignment="1" applyBorder="1" applyFont="1">
      <alignment horizontal="left" readingOrder="0" shrinkToFit="1" vertical="bottom" wrapText="0"/>
    </xf>
    <xf borderId="0" fillId="14" fontId="2" numFmtId="0" xfId="0" applyAlignment="1" applyFill="1" applyFont="1">
      <alignment horizontal="center" readingOrder="0" vertical="center"/>
    </xf>
    <xf borderId="1" fillId="3" fontId="12" numFmtId="0" xfId="0" applyAlignment="1" applyBorder="1" applyFill="1" applyFont="1">
      <alignment horizontal="left" readingOrder="0" vertical="center"/>
    </xf>
    <xf borderId="1" fillId="3" fontId="14" numFmtId="0" xfId="0" applyAlignment="1" applyBorder="1" applyFill="1" applyFont="1">
      <alignment horizontal="left" readingOrder="0" vertical="center"/>
    </xf>
    <xf borderId="1" fillId="0" fontId="4" numFmtId="0" xfId="0" applyAlignment="1" applyBorder="1" applyFont="1">
      <alignment vertical="center"/>
    </xf>
    <xf borderId="17" fillId="15" fontId="2" numFmtId="0" xfId="0" applyAlignment="1" applyBorder="1" applyFill="1" applyFont="1">
      <alignment horizontal="center" vertical="center"/>
    </xf>
    <xf borderId="4" fillId="16" fontId="1" numFmtId="0" xfId="0" applyAlignment="1" applyBorder="1" applyFill="1" applyFont="1">
      <alignment horizontal="left" shrinkToFit="1" vertical="bottom" wrapText="0"/>
    </xf>
    <xf borderId="0" fillId="15" fontId="2" numFmtId="0" xfId="0" applyAlignment="1" applyFill="1" applyFont="1">
      <alignment horizontal="center" vertical="center"/>
    </xf>
    <xf borderId="0" fillId="17" fontId="12" numFmtId="0" xfId="0" applyAlignment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shrinkToFit="1" vertical="bottom" wrapText="0"/>
    </xf>
    <xf borderId="1" fillId="5" fontId="1" numFmtId="0" xfId="0" applyAlignment="1" applyBorder="1" applyFill="1" applyFont="1">
      <alignment vertical="center"/>
    </xf>
    <xf borderId="0" fillId="9" fontId="4" numFmtId="0" xfId="0" applyAlignment="1" applyFill="1" applyFont="1">
      <alignment horizontal="center" vertical="center"/>
    </xf>
    <xf borderId="1" fillId="3" fontId="1" numFmtId="0" xfId="0" applyAlignment="1" applyBorder="1" applyFill="1" applyFont="1">
      <alignment vertical="center"/>
    </xf>
    <xf borderId="1" fillId="8" fontId="7" numFmtId="0" xfId="0" applyAlignment="1" applyBorder="1" applyFill="1" applyFont="1">
      <alignment horizontal="left" readingOrder="0" shrinkToFit="1" vertical="bottom" wrapText="0"/>
    </xf>
    <xf borderId="0" fillId="0" fontId="2" numFmtId="0" xfId="0" applyAlignment="1" applyFont="1">
      <alignment horizontal="right" vertical="center"/>
    </xf>
    <xf borderId="4" fillId="16" fontId="1" numFmtId="0" xfId="0" applyAlignment="1" applyBorder="1" applyFill="1" applyFont="1">
      <alignment horizontal="left" readingOrder="0" shrinkToFit="1" vertical="bottom" wrapText="0"/>
    </xf>
    <xf borderId="18" fillId="0" fontId="14" numFmtId="0" xfId="0" applyAlignment="1" applyBorder="1" applyFont="1">
      <alignment horizontal="center" vertical="center"/>
    </xf>
    <xf borderId="0" fillId="0" fontId="1" numFmtId="0" xfId="0" applyAlignment="1" applyFont="1">
      <alignment readingOrder="0" shrinkToFit="0" vertical="center" wrapText="1"/>
    </xf>
    <xf borderId="1" fillId="4" fontId="1" numFmtId="0" xfId="0" applyAlignment="1" applyBorder="1" applyFill="1" applyFont="1">
      <alignment horizontal="left" shrinkToFit="1" vertical="bottom" wrapText="0"/>
    </xf>
    <xf borderId="1" fillId="4" fontId="14" numFmtId="0" xfId="0" applyAlignment="1" applyBorder="1" applyFill="1" applyFont="1">
      <alignment horizontal="left" vertical="center"/>
    </xf>
    <xf borderId="0" fillId="0" fontId="2" numFmtId="0" xfId="0" applyAlignment="1" applyFont="1">
      <alignment vertical="center"/>
    </xf>
    <xf borderId="1" fillId="17" fontId="1" numFmtId="0" xfId="0" applyAlignment="1" applyBorder="1" applyFill="1" applyFont="1">
      <alignment horizontal="left" shrinkToFit="1" vertical="bottom" wrapText="0"/>
    </xf>
    <xf borderId="0" fillId="0" fontId="4" numFmtId="0" xfId="0" applyAlignment="1" applyFont="1">
      <alignment vertical="center"/>
    </xf>
    <xf borderId="1" fillId="9" fontId="4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left" readingOrder="0" shrinkToFit="1" vertical="bottom" wrapText="0"/>
    </xf>
    <xf borderId="1" fillId="4" fontId="1" numFmtId="0" xfId="0" applyAlignment="1" applyBorder="1" applyFill="1" applyFont="1">
      <alignment horizontal="center" shrinkToFit="1" vertical="bottom" wrapText="0"/>
    </xf>
    <xf borderId="1" fillId="0" fontId="2" numFmtId="0" xfId="0" applyAlignment="1" applyBorder="1" applyFont="1">
      <alignment horizontal="center" readingOrder="0" vertical="center"/>
    </xf>
    <xf borderId="1" fillId="17" fontId="1" numFmtId="0" xfId="0" applyAlignment="1" applyBorder="1" applyFill="1" applyFont="1">
      <alignment horizontal="center" readingOrder="0" shrinkToFit="1" vertical="bottom" wrapText="0"/>
    </xf>
    <xf borderId="1" fillId="3" fontId="1" numFmtId="0" xfId="0" applyAlignment="1" applyBorder="1" applyFill="1" applyFont="1">
      <alignment horizontal="center" readingOrder="0" shrinkToFit="1" vertical="bottom" wrapText="0"/>
    </xf>
    <xf borderId="0" fillId="0" fontId="28" numFmtId="0" xfId="0" applyAlignment="1" applyFont="1">
      <alignment horizontal="left" shrinkToFit="1" vertical="bottom" wrapText="0"/>
    </xf>
    <xf borderId="1" fillId="16" fontId="1" numFmtId="0" xfId="0" applyAlignment="1" applyBorder="1" applyFill="1" applyFont="1">
      <alignment horizontal="left" shrinkToFit="1" vertical="bottom" wrapText="0"/>
    </xf>
    <xf borderId="1" fillId="5" fontId="1" numFmtId="0" xfId="0" applyAlignment="1" applyBorder="1" applyFill="1" applyFont="1">
      <alignment horizontal="center" shrinkToFit="1" vertical="bottom" wrapText="0"/>
    </xf>
    <xf borderId="0" fillId="0" fontId="1" numFmtId="0" xfId="0" applyAlignment="1" applyFont="1">
      <alignment readingOrder="0" vertical="center"/>
    </xf>
    <xf borderId="0" fillId="0" fontId="29" numFmtId="0" xfId="0" applyAlignment="1" applyFont="1">
      <alignment horizontal="left" readingOrder="0" shrinkToFit="1" vertical="bottom" wrapText="0"/>
    </xf>
    <xf borderId="1" fillId="16" fontId="1" numFmtId="1" xfId="0" applyAlignment="1" applyBorder="1" applyFill="1" applyFont="1" applyNumberFormat="1">
      <alignment horizontal="left" shrinkToFit="1" vertical="bottom" wrapText="0"/>
    </xf>
    <xf borderId="1" fillId="0" fontId="1" numFmtId="0" xfId="0" applyAlignment="1" applyBorder="1" applyFont="1">
      <alignment horizontal="left" readingOrder="0" vertical="center"/>
    </xf>
    <xf borderId="0" fillId="0" fontId="1" numFmtId="1" xfId="0" applyAlignment="1" applyFont="1" applyNumberFormat="1">
      <alignment horizontal="left" shrinkToFit="1" vertical="bottom" wrapText="0"/>
    </xf>
    <xf borderId="0" fillId="0" fontId="14" numFmtId="1" xfId="0" applyAlignment="1" applyFont="1" applyNumberFormat="1">
      <alignment horizontal="left" shrinkToFit="1" vertical="bottom" wrapText="0"/>
    </xf>
    <xf borderId="0" fillId="0" fontId="29" numFmtId="0" xfId="0" applyAlignment="1" applyFont="1">
      <alignment horizontal="left" shrinkToFit="1" vertical="bottom" wrapText="0"/>
    </xf>
    <xf borderId="0" fillId="0" fontId="30" numFmtId="0" xfId="0" applyAlignment="1" applyFont="1">
      <alignment vertical="center"/>
    </xf>
    <xf borderId="1" fillId="5" fontId="1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31" numFmtId="0" xfId="0" applyAlignment="1" applyFont="1">
      <alignment horizontal="right" readingOrder="0" shrinkToFit="1" vertical="bottom" wrapText="0"/>
    </xf>
    <xf borderId="0" fillId="0" fontId="31" numFmtId="0" xfId="0" applyAlignment="1" applyFont="1">
      <alignment horizontal="left" shrinkToFit="1" vertical="bottom" wrapText="0"/>
    </xf>
    <xf borderId="0" fillId="0" fontId="32" numFmtId="0" xfId="0" applyAlignment="1" applyFont="1">
      <alignment horizontal="right" readingOrder="0" shrinkToFit="1" vertical="bottom" wrapText="0"/>
    </xf>
    <xf borderId="0" fillId="0" fontId="32" numFmtId="0" xfId="0" applyAlignment="1" applyFont="1">
      <alignment horizontal="left" shrinkToFit="1" vertical="bottom" wrapText="0"/>
    </xf>
    <xf borderId="0" fillId="0" fontId="29" numFmtId="0" xfId="0" applyAlignment="1" applyFont="1">
      <alignment horizontal="right" readingOrder="0" shrinkToFit="1" vertical="bottom" wrapText="0"/>
    </xf>
    <xf borderId="19" fillId="0" fontId="4" numFmtId="0" xfId="0" applyAlignment="1" applyBorder="1" applyFont="1">
      <alignment horizontal="left" vertical="center"/>
    </xf>
    <xf borderId="0" fillId="0" fontId="1" numFmtId="164" xfId="0" applyAlignment="1" applyFont="1" applyNumberFormat="1">
      <alignment horizontal="left" shrinkToFit="1" vertical="bottom" wrapText="0"/>
    </xf>
    <xf borderId="20" fillId="0" fontId="1" numFmtId="0" xfId="0" applyAlignment="1" applyBorder="1" applyFont="1">
      <alignment horizontal="left" readingOrder="0" shrinkToFit="1" vertical="bottom" wrapText="0"/>
    </xf>
    <xf borderId="20" fillId="0" fontId="1" numFmtId="0" xfId="0" applyAlignment="1" applyBorder="1" applyFont="1">
      <alignment horizontal="left" shrinkToFit="1" vertical="bottom" wrapText="0"/>
    </xf>
    <xf borderId="20" fillId="0" fontId="1" numFmtId="0" xfId="0" applyAlignment="1" applyBorder="1" applyFont="1">
      <alignment horizontal="left" readingOrder="0" shrinkToFit="0" vertical="bottom" wrapText="0"/>
    </xf>
    <xf borderId="20" fillId="0" fontId="29" numFmtId="0" xfId="0" applyAlignment="1" applyBorder="1" applyFont="1">
      <alignment horizontal="left" readingOrder="0" shrinkToFit="1" vertical="bottom" wrapText="0"/>
    </xf>
    <xf borderId="20" fillId="0" fontId="29" numFmtId="0" xfId="0" applyAlignment="1" applyBorder="1" applyFont="1">
      <alignment horizontal="left" shrinkToFit="1" vertical="bottom" wrapText="0"/>
    </xf>
    <xf borderId="0" fillId="0" fontId="33" numFmtId="0" xfId="0" applyAlignment="1" applyFont="1">
      <alignment horizontal="left" shrinkToFit="1" vertical="bottom" wrapText="0"/>
    </xf>
    <xf borderId="0" fillId="0" fontId="1" numFmtId="0" xfId="0" applyAlignment="1" applyFont="1">
      <alignment horizontal="right" readingOrder="0" shrinkToFit="0" vertical="bottom" wrapText="0"/>
    </xf>
    <xf borderId="21" fillId="3" fontId="1" numFmtId="0" xfId="0" applyAlignment="1" applyBorder="1" applyFill="1" applyFont="1">
      <alignment horizontal="left" shrinkToFit="1" vertical="bottom" wrapText="0"/>
    </xf>
    <xf borderId="0" fillId="0" fontId="1" numFmtId="0" xfId="0" applyAlignment="1" applyFont="1">
      <alignment horizontal="left" readingOrder="0" shrinkToFit="1" vertical="bottom" wrapText="0"/>
    </xf>
    <xf borderId="3" fillId="0" fontId="7" numFmtId="0" xfId="0" applyAlignment="1" applyBorder="1" applyFont="1">
      <alignment horizontal="left" shrinkToFit="1" vertical="bottom" wrapText="0"/>
    </xf>
    <xf borderId="22" fillId="0" fontId="1" numFmtId="0" xfId="0" applyAlignment="1" applyBorder="1" applyFont="1">
      <alignment horizontal="left" readingOrder="0" shrinkToFit="1" vertical="bottom" wrapText="0"/>
    </xf>
    <xf borderId="1" fillId="0" fontId="18" numFmtId="0" xfId="0" applyAlignment="1" applyBorder="1" applyFont="1">
      <alignment horizontal="left" shrinkToFit="1" vertical="bottom" wrapText="0"/>
    </xf>
    <xf borderId="7" fillId="0" fontId="1" numFmtId="0" xfId="0" applyAlignment="1" applyBorder="1" applyFont="1">
      <alignment horizontal="left" readingOrder="0" shrinkToFit="1" vertical="bottom" wrapText="0"/>
    </xf>
    <xf borderId="4" fillId="0" fontId="7" numFmtId="0" xfId="0" applyAlignment="1" applyBorder="1" applyFont="1">
      <alignment horizontal="left" shrinkToFit="1" vertical="bottom" wrapText="0"/>
    </xf>
    <xf borderId="1" fillId="0" fontId="19" numFmtId="0" xfId="0" applyAlignment="1" applyBorder="1" applyFont="1">
      <alignment horizontal="left" vertical="center"/>
    </xf>
    <xf borderId="1" fillId="17" fontId="1" numFmtId="0" xfId="0" applyAlignment="1" applyBorder="1" applyFill="1" applyFont="1">
      <alignment horizontal="left" readingOrder="0" shrinkToFit="1" vertical="bottom" wrapText="0"/>
    </xf>
    <xf borderId="7" fillId="0" fontId="18" numFmtId="0" xfId="0" applyAlignment="1" applyBorder="1" applyFont="1">
      <alignment horizontal="left" shrinkToFit="1" vertical="bottom" wrapText="0"/>
    </xf>
    <xf borderId="5" fillId="17" fontId="1" numFmtId="0" xfId="0" applyAlignment="1" applyBorder="1" applyFill="1" applyFont="1">
      <alignment horizontal="left" readingOrder="0" shrinkToFit="1" vertical="bottom" wrapText="0"/>
    </xf>
    <xf borderId="11" fillId="0" fontId="1" numFmtId="0" xfId="0" applyAlignment="1" applyBorder="1" applyFont="1">
      <alignment horizontal="left" readingOrder="0" shrinkToFit="1" vertical="bottom" wrapText="0"/>
    </xf>
    <xf borderId="11" fillId="3" fontId="1" numFmtId="0" xfId="0" applyAlignment="1" applyBorder="1" applyFill="1" applyFont="1">
      <alignment horizontal="left" readingOrder="0" shrinkToFit="1" vertical="bottom" wrapText="0"/>
    </xf>
    <xf borderId="1" fillId="3" fontId="1" numFmtId="0" xfId="0" applyAlignment="1" applyBorder="1" applyFill="1" applyFont="1">
      <alignment readingOrder="0" shrinkToFit="1" vertical="bottom" wrapText="0"/>
    </xf>
    <xf borderId="4" fillId="3" fontId="1" numFmtId="0" xfId="0" applyAlignment="1" applyBorder="1" applyFill="1" applyFont="1">
      <alignment horizontal="left" shrinkToFit="1" vertical="bottom" wrapText="0"/>
    </xf>
    <xf borderId="0" fillId="0" fontId="34" numFmtId="0" xfId="0" applyAlignment="1" applyFont="1">
      <alignment horizontal="left" readingOrder="0" shrinkToFit="1" vertical="bottom" wrapText="0"/>
    </xf>
    <xf borderId="2" fillId="5" fontId="35" numFmtId="0" xfId="0" applyAlignment="1" applyBorder="1" applyFill="1" applyFont="1">
      <alignment horizontal="left" shrinkToFit="1" vertical="bottom" wrapText="0"/>
    </xf>
    <xf borderId="1" fillId="5" fontId="1" numFmtId="0" xfId="0" applyAlignment="1" applyBorder="1" applyFill="1" applyFont="1">
      <alignment readingOrder="0" shrinkToFit="1" vertical="bottom" wrapText="0"/>
    </xf>
    <xf borderId="1" fillId="0" fontId="34" numFmtId="0" xfId="0" applyAlignment="1" applyBorder="1" applyFont="1">
      <alignment horizontal="left" readingOrder="0" shrinkToFit="1" vertical="bottom" wrapText="0"/>
    </xf>
    <xf borderId="1" fillId="5" fontId="1" numFmtId="0" xfId="0" applyAlignment="1" applyBorder="1" applyFill="1" applyFont="1">
      <alignment shrinkToFit="1" vertical="bottom" wrapText="0"/>
    </xf>
    <xf borderId="1" fillId="0" fontId="17" numFmtId="0" xfId="0" applyAlignment="1" applyBorder="1" applyFont="1">
      <alignment horizontal="left" readingOrder="0" shrinkToFit="1" vertical="bottom" wrapText="0"/>
    </xf>
    <xf borderId="9" fillId="5" fontId="7" numFmtId="0" xfId="0" applyAlignment="1" applyBorder="1" applyFill="1" applyFont="1">
      <alignment horizontal="left" readingOrder="0" shrinkToFit="1" vertical="bottom" wrapText="0"/>
    </xf>
    <xf borderId="0" fillId="0" fontId="1" numFmtId="0" xfId="0" applyAlignment="1" applyFont="1">
      <alignment horizontal="left" readingOrder="0" vertical="center"/>
    </xf>
    <xf borderId="23" fillId="5" fontId="1" numFmtId="0" xfId="0" applyAlignment="1" applyBorder="1" applyFill="1" applyFont="1">
      <alignment horizontal="left" shrinkToFit="1" vertical="bottom" wrapText="0"/>
    </xf>
    <xf borderId="5" fillId="8" fontId="1" numFmtId="0" xfId="0" applyAlignment="1" applyBorder="1" applyFill="1" applyFont="1">
      <alignment horizontal="left" readingOrder="0" shrinkToFit="1" vertical="bottom" wrapText="0"/>
    </xf>
    <xf borderId="1" fillId="5" fontId="35" numFmtId="0" xfId="0" applyAlignment="1" applyBorder="1" applyFill="1" applyFont="1">
      <alignment horizontal="left" shrinkToFit="1" vertical="bottom" wrapText="0"/>
    </xf>
    <xf borderId="13" fillId="5" fontId="1" numFmtId="0" xfId="0" applyAlignment="1" applyBorder="1" applyFill="1" applyFont="1">
      <alignment shrinkToFit="1" vertical="bottom" wrapText="0"/>
    </xf>
    <xf borderId="3" fillId="2" fontId="36" numFmtId="0" xfId="0" applyAlignment="1" applyBorder="1" applyFill="1" applyFont="1">
      <alignment horizontal="left" shrinkToFit="0" vertical="top" wrapText="1"/>
    </xf>
    <xf borderId="3" fillId="18" fontId="9" numFmtId="0" xfId="0" applyAlignment="1" applyBorder="1" applyFill="1" applyFont="1">
      <alignment horizontal="left" shrinkToFit="1" vertical="center" wrapText="0"/>
    </xf>
    <xf borderId="2" fillId="2" fontId="37" numFmtId="0" xfId="0" applyAlignment="1" applyBorder="1" applyFill="1" applyFont="1">
      <alignment horizontal="left" shrinkToFit="1" vertical="top" wrapText="0"/>
    </xf>
    <xf borderId="0" fillId="0" fontId="2" numFmtId="0" xfId="0" applyAlignment="1" applyFont="1">
      <alignment horizontal="left" readingOrder="0" vertical="center"/>
    </xf>
    <xf borderId="1" fillId="8" fontId="7" numFmtId="0" xfId="0" applyAlignment="1" applyBorder="1" applyFill="1" applyFont="1">
      <alignment horizontal="left" shrinkToFit="1" vertical="bottom" wrapText="0"/>
    </xf>
    <xf borderId="1" fillId="8" fontId="19" numFmtId="0" xfId="0" applyAlignment="1" applyBorder="1" applyFill="1" applyFont="1">
      <alignment horizontal="left" vertical="center"/>
    </xf>
    <xf borderId="0" fillId="0" fontId="24" numFmtId="0" xfId="0" applyAlignment="1" applyFont="1">
      <alignment horizontal="right" readingOrder="0" shrinkToFit="1" vertical="bottom" wrapText="0"/>
    </xf>
    <xf borderId="7" fillId="0" fontId="18" numFmtId="0" xfId="0" applyAlignment="1" applyBorder="1" applyFont="1">
      <alignment horizontal="left" readingOrder="0" shrinkToFit="1" vertical="bottom" wrapText="0"/>
    </xf>
    <xf borderId="1" fillId="8" fontId="4" numFmtId="0" xfId="0" applyAlignment="1" applyBorder="1" applyFill="1" applyFont="1">
      <alignment readingOrder="0" vertical="center"/>
    </xf>
    <xf borderId="0" fillId="0" fontId="38" numFmtId="0" xfId="0" applyAlignment="1" applyFont="1">
      <alignment horizontal="right" shrinkToFit="1" vertical="bottom" wrapText="0"/>
    </xf>
    <xf borderId="1" fillId="8" fontId="4" numFmtId="0" xfId="0" applyAlignment="1" applyBorder="1" applyFill="1" applyFont="1">
      <alignment horizontal="center" readingOrder="0" vertical="center"/>
    </xf>
    <xf borderId="1" fillId="5" fontId="1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shrinkToFit="1" vertical="bottom" wrapText="0"/>
    </xf>
    <xf borderId="0" fillId="0" fontId="11" numFmtId="0" xfId="0" applyAlignment="1" applyFont="1">
      <alignment vertical="center"/>
    </xf>
    <xf borderId="11" fillId="0" fontId="7" numFmtId="0" xfId="0" applyAlignment="1" applyBorder="1" applyFont="1">
      <alignment horizontal="left" shrinkToFit="1" vertical="bottom" wrapText="0"/>
    </xf>
    <xf borderId="1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readingOrder="0" vertical="center"/>
    </xf>
    <xf borderId="0" fillId="0" fontId="19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horizontal="center" vertical="center"/>
    </xf>
    <xf borderId="0" fillId="0" fontId="39" numFmtId="0" xfId="0" applyAlignment="1" applyFont="1">
      <alignment horizontal="left" shrinkToFit="1" vertical="bottom" wrapText="0"/>
    </xf>
    <xf borderId="1" fillId="0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shrinkToFit="1" vertical="bottom" wrapText="0"/>
    </xf>
    <xf borderId="0" fillId="0" fontId="40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center" vertical="center"/>
    </xf>
    <xf borderId="0" fillId="0" fontId="42" numFmtId="0" xfId="0" applyAlignment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shrinkToFit="0" vertical="center" wrapText="1"/>
    </xf>
    <xf borderId="0" fillId="0" fontId="44" numFmtId="165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1" fillId="0" fontId="47" numFmtId="0" xfId="0" applyAlignment="1" applyBorder="1" applyFont="1">
      <alignment horizontal="left" vertical="center"/>
    </xf>
    <xf borderId="1" fillId="0" fontId="48" numFmtId="0" xfId="0" applyAlignment="1" applyBorder="1" applyFont="1">
      <alignment horizontal="left" shrinkToFit="1" vertical="bottom" wrapText="0"/>
    </xf>
    <xf borderId="4" fillId="0" fontId="1" numFmtId="0" xfId="0" applyAlignment="1" applyBorder="1" applyFont="1">
      <alignment readingOrder="0" vertical="center"/>
    </xf>
    <xf borderId="0" fillId="0" fontId="49" numFmtId="0" xfId="0" applyAlignment="1" applyFont="1">
      <alignment vertical="center"/>
    </xf>
    <xf borderId="24" fillId="0" fontId="49" numFmtId="0" xfId="0" applyAlignment="1" applyBorder="1" applyFont="1">
      <alignment horizontal="center" vertical="center"/>
    </xf>
    <xf borderId="24" fillId="0" fontId="4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25" fillId="17" fontId="19" numFmtId="0" xfId="0" applyAlignment="1" applyBorder="1" applyFill="1" applyFont="1">
      <alignment horizontal="center" shrinkToFit="0" vertical="center" wrapText="1"/>
    </xf>
    <xf borderId="7" fillId="0" fontId="11" numFmtId="0" xfId="0" applyAlignment="1" applyBorder="1" applyFont="1">
      <alignment horizontal="left" vertical="center"/>
    </xf>
    <xf borderId="25" fillId="19" fontId="19" numFmtId="0" xfId="0" applyAlignment="1" applyBorder="1" applyFill="1" applyFont="1">
      <alignment horizontal="center" vertical="center"/>
    </xf>
    <xf borderId="25" fillId="20" fontId="19" numFmtId="0" xfId="0" applyAlignment="1" applyBorder="1" applyFill="1" applyFont="1">
      <alignment horizontal="center" vertical="center"/>
    </xf>
    <xf borderId="25" fillId="21" fontId="19" numFmtId="0" xfId="0" applyAlignment="1" applyBorder="1" applyFill="1" applyFont="1">
      <alignment horizontal="center" vertical="center"/>
    </xf>
    <xf borderId="1" fillId="0" fontId="19" numFmtId="0" xfId="0" applyAlignment="1" applyBorder="1" applyFont="1">
      <alignment readingOrder="0" vertical="center"/>
    </xf>
    <xf borderId="0" fillId="0" fontId="49" numFmtId="0" xfId="0" applyAlignment="1" applyFont="1">
      <alignment horizontal="center" vertical="center"/>
    </xf>
    <xf borderId="3" fillId="0" fontId="11" numFmtId="0" xfId="0" applyAlignment="1" applyBorder="1" applyFont="1">
      <alignment horizontal="left" vertical="center"/>
    </xf>
    <xf borderId="25" fillId="17" fontId="19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left" shrinkToFit="1" vertical="bottom" wrapText="0"/>
    </xf>
    <xf borderId="26" fillId="0" fontId="49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27" fillId="21" fontId="19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left" readingOrder="0" vertical="center"/>
    </xf>
    <xf borderId="28" fillId="0" fontId="49" numFmtId="0" xfId="0" applyAlignment="1" applyBorder="1" applyFont="1">
      <alignment horizontal="center" shrinkToFit="0" vertical="center" wrapText="1"/>
    </xf>
    <xf borderId="29" fillId="0" fontId="49" numFmtId="0" xfId="0" applyAlignment="1" applyBorder="1" applyFont="1">
      <alignment horizontal="center" shrinkToFit="0" vertical="center" wrapText="1"/>
    </xf>
    <xf borderId="1" fillId="3" fontId="50" numFmtId="0" xfId="0" applyAlignment="1" applyBorder="1" applyFill="1" applyFont="1">
      <alignment horizontal="left" readingOrder="0" vertical="center"/>
    </xf>
    <xf borderId="25" fillId="20" fontId="19" numFmtId="0" xfId="0" applyAlignment="1" applyBorder="1" applyFill="1" applyFont="1">
      <alignment horizontal="center" readingOrder="0" vertical="center"/>
    </xf>
    <xf borderId="27" fillId="21" fontId="19" numFmtId="0" xfId="0" applyAlignment="1" applyBorder="1" applyFill="1" applyFont="1">
      <alignment horizontal="center" readingOrder="0" vertical="center"/>
    </xf>
    <xf borderId="1" fillId="0" fontId="51" numFmtId="0" xfId="0" applyAlignment="1" applyBorder="1" applyFont="1">
      <alignment readingOrder="0" vertical="center"/>
    </xf>
    <xf borderId="25" fillId="19" fontId="19" numFmtId="0" xfId="0" applyAlignment="1" applyBorder="1" applyFill="1" applyFont="1">
      <alignment horizontal="center" shrinkToFit="0" vertical="center" wrapText="1"/>
    </xf>
    <xf borderId="25" fillId="21" fontId="19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readingOrder="0" vertical="center"/>
    </xf>
    <xf borderId="0" fillId="0" fontId="49" numFmtId="0" xfId="0" applyAlignment="1" applyFont="1">
      <alignment horizontal="center" shrinkToFit="0" vertical="center" wrapText="1"/>
    </xf>
    <xf borderId="27" fillId="21" fontId="19" numFmtId="0" xfId="0" applyAlignment="1" applyBorder="1" applyFill="1" applyFont="1">
      <alignment horizontal="center" shrinkToFit="0" vertical="center" wrapText="1"/>
    </xf>
    <xf borderId="21" fillId="8" fontId="19" numFmtId="0" xfId="0" applyAlignment="1" applyBorder="1" applyFill="1" applyFont="1">
      <alignment horizontal="center" vertical="center"/>
    </xf>
    <xf borderId="0" fillId="0" fontId="39" numFmtId="0" xfId="0" applyAlignment="1" applyFont="1">
      <alignment vertical="center"/>
    </xf>
    <xf borderId="25" fillId="21" fontId="19" numFmtId="0" xfId="0" applyAlignment="1" applyBorder="1" applyFill="1" applyFont="1">
      <alignment horizontal="center" readingOrder="0" vertical="center"/>
    </xf>
    <xf borderId="30" fillId="0" fontId="52" numFmtId="0" xfId="0" applyAlignment="1" applyBorder="1" applyFont="1">
      <alignment vertical="center"/>
    </xf>
    <xf borderId="0" fillId="0" fontId="24" numFmtId="0" xfId="0" applyAlignment="1" applyFont="1">
      <alignment horizontal="left" readingOrder="0" vertical="center"/>
    </xf>
    <xf borderId="31" fillId="0" fontId="52" numFmtId="0" xfId="0" applyAlignment="1" applyBorder="1" applyFont="1">
      <alignment vertical="center"/>
    </xf>
    <xf borderId="25" fillId="20" fontId="19" numFmtId="0" xfId="0" applyAlignment="1" applyBorder="1" applyFill="1" applyFont="1">
      <alignment horizontal="center" shrinkToFit="0" vertical="center" wrapText="1"/>
    </xf>
    <xf borderId="0" fillId="0" fontId="53" numFmtId="0" xfId="0" applyAlignment="1" applyFont="1">
      <alignment horizontal="right" readingOrder="0" vertical="center"/>
    </xf>
    <xf borderId="0" fillId="0" fontId="53" numFmtId="0" xfId="0" applyAlignment="1" applyFont="1">
      <alignment vertical="center"/>
    </xf>
    <xf borderId="0" fillId="0" fontId="53" numFmtId="0" xfId="0" applyAlignment="1" applyFont="1">
      <alignment horizontal="right" vertical="center"/>
    </xf>
    <xf borderId="32" fillId="0" fontId="45" numFmtId="0" xfId="0" applyAlignment="1" applyBorder="1" applyFont="1">
      <alignment horizontal="center" vertical="center"/>
    </xf>
    <xf borderId="32" fillId="0" fontId="46" numFmtId="0" xfId="0" applyAlignment="1" applyBorder="1" applyFont="1">
      <alignment horizontal="center" vertical="center"/>
    </xf>
    <xf borderId="0" fillId="0" fontId="46" numFmtId="10" xfId="0" applyAlignment="1" applyFont="1" applyNumberFormat="1">
      <alignment vertical="center"/>
    </xf>
    <xf borderId="0" fillId="0" fontId="52" numFmtId="0" xfId="0" applyAlignment="1" applyFont="1">
      <alignment horizontal="center" vertical="center"/>
    </xf>
    <xf borderId="0" fillId="0" fontId="54" numFmtId="0" xfId="0" applyAlignment="1" applyFont="1">
      <alignment horizontal="center" vertical="center"/>
    </xf>
    <xf borderId="0" fillId="0" fontId="5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13"/>
  </cols>
  <sheetData>
    <row r="1">
      <c r="A1" s="5"/>
      <c r="B1" s="6" t="s">
        <v>5</v>
      </c>
      <c r="C1" s="10" t="s">
        <v>7</v>
      </c>
      <c r="D1" s="10" t="s">
        <v>12</v>
      </c>
    </row>
    <row r="2">
      <c r="A2" s="11" t="s">
        <v>13</v>
      </c>
      <c r="B2" s="12">
        <v>1.0</v>
      </c>
      <c r="C2" s="13" t="s">
        <v>14</v>
      </c>
      <c r="D2" s="18"/>
    </row>
    <row r="3">
      <c r="A3" s="11" t="s">
        <v>21</v>
      </c>
      <c r="B3" s="12">
        <v>1.0</v>
      </c>
      <c r="C3" s="13" t="s">
        <v>14</v>
      </c>
      <c r="D3" s="18"/>
    </row>
    <row r="4">
      <c r="A4" s="11" t="s">
        <v>22</v>
      </c>
      <c r="B4" s="12">
        <v>1.0</v>
      </c>
      <c r="C4" s="13" t="s">
        <v>14</v>
      </c>
      <c r="D4" s="18"/>
    </row>
    <row r="5">
      <c r="A5" s="11" t="s">
        <v>23</v>
      </c>
      <c r="B5" s="12">
        <v>1.0</v>
      </c>
      <c r="C5" s="13" t="s">
        <v>14</v>
      </c>
      <c r="D5" s="18"/>
    </row>
    <row r="6">
      <c r="A6" s="11" t="s">
        <v>11</v>
      </c>
      <c r="B6" s="12">
        <v>6.0</v>
      </c>
      <c r="C6" s="13">
        <v>6.0</v>
      </c>
      <c r="D6" s="18"/>
    </row>
    <row r="7">
      <c r="A7" s="11" t="s">
        <v>24</v>
      </c>
      <c r="B7" s="12">
        <v>13.0</v>
      </c>
      <c r="C7" s="13">
        <v>7.0</v>
      </c>
      <c r="D7" s="18"/>
    </row>
    <row r="8">
      <c r="A8" s="11" t="s">
        <v>25</v>
      </c>
      <c r="B8" s="12">
        <v>10.0</v>
      </c>
      <c r="C8" s="13">
        <v>1.0</v>
      </c>
      <c r="D8" s="18"/>
    </row>
    <row r="9">
      <c r="A9" s="11" t="s">
        <v>26</v>
      </c>
      <c r="B9" s="12">
        <v>8.0</v>
      </c>
      <c r="C9" s="13">
        <v>8.0</v>
      </c>
      <c r="D9" s="18"/>
    </row>
    <row r="10">
      <c r="A10" s="11" t="s">
        <v>27</v>
      </c>
      <c r="B10" s="12">
        <v>1.0</v>
      </c>
      <c r="C10" s="13" t="s">
        <v>14</v>
      </c>
      <c r="D10" s="18"/>
    </row>
    <row r="11">
      <c r="A11" s="21" t="s">
        <v>28</v>
      </c>
      <c r="B11" s="12">
        <v>9.0</v>
      </c>
      <c r="C11" s="13">
        <v>9.0</v>
      </c>
      <c r="D11" s="18"/>
    </row>
    <row r="12">
      <c r="A12" s="21" t="s">
        <v>29</v>
      </c>
      <c r="B12" s="12">
        <v>30.0</v>
      </c>
      <c r="C12" s="13" t="s">
        <v>14</v>
      </c>
      <c r="D12" s="13">
        <v>30.0</v>
      </c>
    </row>
    <row r="13">
      <c r="A13" s="21" t="s">
        <v>30</v>
      </c>
      <c r="B13" s="12">
        <v>14.0</v>
      </c>
      <c r="C13" s="13">
        <v>13.0</v>
      </c>
      <c r="D13" s="18"/>
    </row>
    <row r="14">
      <c r="A14" s="21" t="s">
        <v>31</v>
      </c>
      <c r="B14" s="12">
        <v>17.0</v>
      </c>
      <c r="C14" s="13">
        <v>15.0</v>
      </c>
      <c r="D14" s="18"/>
    </row>
    <row r="15">
      <c r="A15" s="21" t="s">
        <v>32</v>
      </c>
      <c r="B15" s="12">
        <v>25.0</v>
      </c>
      <c r="C15" s="13">
        <v>16.0</v>
      </c>
      <c r="D15" s="13">
        <v>8.0</v>
      </c>
    </row>
    <row r="16">
      <c r="A16" s="23" t="s">
        <v>33</v>
      </c>
      <c r="B16" s="24">
        <v>137.0</v>
      </c>
      <c r="C16" s="24">
        <v>75.0</v>
      </c>
      <c r="D16" s="24">
        <v>38.0</v>
      </c>
      <c r="E16" s="23">
        <v>113.0</v>
      </c>
    </row>
    <row r="17">
      <c r="B17" s="25"/>
      <c r="C17" s="25"/>
      <c r="D17" s="25"/>
    </row>
    <row r="18">
      <c r="A18" s="29" t="s">
        <v>34</v>
      </c>
      <c r="B18" s="29">
        <v>7.0</v>
      </c>
      <c r="C18" s="13">
        <v>6.0</v>
      </c>
      <c r="D18" s="18"/>
    </row>
    <row r="19">
      <c r="A19" s="29" t="s">
        <v>42</v>
      </c>
      <c r="B19" s="29">
        <v>2.0</v>
      </c>
      <c r="C19" s="13">
        <v>2.0</v>
      </c>
      <c r="D19" s="18"/>
    </row>
    <row r="20">
      <c r="A20" s="29" t="s">
        <v>43</v>
      </c>
      <c r="B20" s="29">
        <v>3.0</v>
      </c>
      <c r="C20" s="13">
        <v>3.0</v>
      </c>
      <c r="D20" s="18"/>
    </row>
    <row r="21">
      <c r="A21" s="29" t="s">
        <v>44</v>
      </c>
      <c r="B21" s="31">
        <v>6.0</v>
      </c>
      <c r="C21" s="13">
        <v>5.0</v>
      </c>
      <c r="D21" s="18"/>
    </row>
    <row r="22">
      <c r="A22" s="29" t="s">
        <v>46</v>
      </c>
      <c r="B22" s="29">
        <v>5.0</v>
      </c>
      <c r="C22" s="13">
        <v>5.0</v>
      </c>
      <c r="D22" s="18"/>
    </row>
    <row r="23">
      <c r="A23" s="29" t="s">
        <v>48</v>
      </c>
      <c r="B23" s="29">
        <v>4.0</v>
      </c>
      <c r="C23" s="13" t="s">
        <v>14</v>
      </c>
      <c r="D23" s="18"/>
    </row>
    <row r="24">
      <c r="A24" s="29" t="s">
        <v>49</v>
      </c>
      <c r="B24" s="29">
        <v>4.0</v>
      </c>
      <c r="C24" s="13" t="s">
        <v>14</v>
      </c>
      <c r="D24" s="18"/>
    </row>
    <row r="25">
      <c r="A25" s="29" t="s">
        <v>51</v>
      </c>
      <c r="B25" s="29">
        <v>2.0</v>
      </c>
      <c r="C25" s="13">
        <v>2.0</v>
      </c>
      <c r="D25" s="18"/>
    </row>
    <row r="26">
      <c r="A26" s="29" t="s">
        <v>54</v>
      </c>
      <c r="B26" s="29">
        <v>4.0</v>
      </c>
      <c r="C26" s="13">
        <v>4.0</v>
      </c>
      <c r="D26" s="18"/>
    </row>
    <row r="27">
      <c r="A27" s="29" t="s">
        <v>55</v>
      </c>
      <c r="B27" s="29">
        <v>5.0</v>
      </c>
      <c r="C27" s="13">
        <v>5.0</v>
      </c>
      <c r="D27" s="18"/>
    </row>
    <row r="28">
      <c r="A28" s="29" t="s">
        <v>56</v>
      </c>
      <c r="B28" s="29">
        <v>3.0</v>
      </c>
      <c r="C28" s="13">
        <v>3.0</v>
      </c>
      <c r="D28" s="18"/>
    </row>
    <row r="29">
      <c r="A29" s="29" t="s">
        <v>57</v>
      </c>
      <c r="B29" s="29">
        <v>5.0</v>
      </c>
      <c r="C29" s="13">
        <v>5.0</v>
      </c>
      <c r="D29" s="18"/>
    </row>
    <row r="30">
      <c r="A30" s="29" t="s">
        <v>59</v>
      </c>
      <c r="B30" s="31">
        <v>4.0</v>
      </c>
      <c r="C30" s="13">
        <v>3.0</v>
      </c>
      <c r="D30" s="18"/>
    </row>
    <row r="31">
      <c r="A31" s="29" t="s">
        <v>61</v>
      </c>
      <c r="B31" s="29">
        <v>5.0</v>
      </c>
      <c r="C31" s="13">
        <v>5.0</v>
      </c>
      <c r="D31" s="18"/>
    </row>
    <row r="32">
      <c r="A32" s="29" t="s">
        <v>62</v>
      </c>
      <c r="B32" s="29">
        <v>6.0</v>
      </c>
      <c r="C32" s="13">
        <v>6.0</v>
      </c>
      <c r="D32" s="18"/>
    </row>
    <row r="33">
      <c r="A33" s="29" t="s">
        <v>63</v>
      </c>
      <c r="B33" s="29">
        <v>4.0</v>
      </c>
      <c r="C33" s="13" t="s">
        <v>14</v>
      </c>
      <c r="D33" s="18"/>
    </row>
    <row r="34">
      <c r="A34" s="29" t="s">
        <v>65</v>
      </c>
      <c r="B34" s="29">
        <v>7.0</v>
      </c>
      <c r="C34" s="13">
        <v>7.0</v>
      </c>
      <c r="D34" s="18"/>
    </row>
    <row r="35">
      <c r="A35" s="29" t="s">
        <v>66</v>
      </c>
      <c r="B35" s="29">
        <v>14.0</v>
      </c>
      <c r="C35" s="13">
        <v>14.0</v>
      </c>
      <c r="D35" s="18"/>
    </row>
    <row r="36">
      <c r="A36" s="29" t="s">
        <v>67</v>
      </c>
      <c r="B36" s="29">
        <v>19.0</v>
      </c>
      <c r="C36" s="13" t="s">
        <v>14</v>
      </c>
      <c r="D36" s="13">
        <v>18.0</v>
      </c>
    </row>
    <row r="37">
      <c r="A37" s="29" t="s">
        <v>71</v>
      </c>
      <c r="B37" s="29">
        <v>6.0</v>
      </c>
      <c r="C37" s="13">
        <v>6.0</v>
      </c>
      <c r="D37" s="18"/>
    </row>
    <row r="38">
      <c r="A38" s="29" t="s">
        <v>72</v>
      </c>
      <c r="B38" s="29">
        <v>6.0</v>
      </c>
      <c r="C38" s="13">
        <v>6.0</v>
      </c>
      <c r="D38" s="18"/>
    </row>
    <row r="39">
      <c r="A39" s="29" t="s">
        <v>75</v>
      </c>
      <c r="B39" s="29">
        <v>5.0</v>
      </c>
      <c r="C39" s="13">
        <v>5.0</v>
      </c>
      <c r="D39" s="18"/>
    </row>
    <row r="40">
      <c r="A40" s="29" t="s">
        <v>77</v>
      </c>
      <c r="B40" s="29">
        <v>5.0</v>
      </c>
      <c r="C40" s="13">
        <v>5.0</v>
      </c>
      <c r="D40" s="18"/>
    </row>
    <row r="41">
      <c r="A41" s="29" t="s">
        <v>80</v>
      </c>
      <c r="B41" s="29">
        <v>2.0</v>
      </c>
      <c r="C41" s="13">
        <v>2.0</v>
      </c>
      <c r="D41" s="18"/>
    </row>
    <row r="42">
      <c r="A42" s="29" t="s">
        <v>81</v>
      </c>
      <c r="B42" s="29">
        <v>6.0</v>
      </c>
      <c r="C42" s="13">
        <v>6.0</v>
      </c>
      <c r="D42" s="18"/>
    </row>
    <row r="43">
      <c r="A43" s="29" t="s">
        <v>83</v>
      </c>
      <c r="B43" s="29">
        <v>6.0</v>
      </c>
      <c r="C43" s="13">
        <v>6.0</v>
      </c>
      <c r="D43" s="18"/>
    </row>
    <row r="44">
      <c r="A44" s="29" t="s">
        <v>85</v>
      </c>
      <c r="B44" s="29">
        <v>6.0</v>
      </c>
      <c r="C44" s="13" t="s">
        <v>14</v>
      </c>
      <c r="D44" s="18"/>
    </row>
    <row r="45">
      <c r="A45" s="29" t="s">
        <v>87</v>
      </c>
      <c r="B45" s="12">
        <v>6.0</v>
      </c>
      <c r="C45" s="13">
        <v>6.0</v>
      </c>
      <c r="D45" s="18"/>
    </row>
    <row r="46">
      <c r="A46" s="29" t="s">
        <v>91</v>
      </c>
      <c r="B46" s="12">
        <v>30.0</v>
      </c>
      <c r="C46" s="13">
        <v>29.0</v>
      </c>
      <c r="D46" s="18"/>
    </row>
    <row r="47">
      <c r="A47" s="29" t="s">
        <v>93</v>
      </c>
      <c r="B47" s="12">
        <v>6.0</v>
      </c>
      <c r="C47" s="13">
        <v>6.0</v>
      </c>
      <c r="D47" s="18"/>
    </row>
    <row r="48">
      <c r="A48" s="23" t="s">
        <v>33</v>
      </c>
      <c r="B48" s="24">
        <v>193.0</v>
      </c>
      <c r="C48" s="24">
        <v>152.0</v>
      </c>
      <c r="D48" s="24">
        <v>18.0</v>
      </c>
      <c r="E48" s="23">
        <v>170.0</v>
      </c>
    </row>
    <row r="49">
      <c r="A49" s="23"/>
      <c r="B49" s="25"/>
      <c r="C49" s="24"/>
      <c r="D49" s="25"/>
    </row>
    <row r="50">
      <c r="A50" s="23" t="s">
        <v>96</v>
      </c>
      <c r="B50" s="25"/>
      <c r="C50" s="24">
        <v>40.0</v>
      </c>
      <c r="D50" s="25"/>
    </row>
    <row r="51">
      <c r="A51" s="23" t="s">
        <v>99</v>
      </c>
      <c r="B51" s="25"/>
      <c r="C51" s="25"/>
      <c r="D51" s="24">
        <v>137.0</v>
      </c>
    </row>
    <row r="52">
      <c r="A52" s="23" t="s">
        <v>101</v>
      </c>
      <c r="B52" s="25"/>
      <c r="C52" s="25"/>
      <c r="D52" s="24">
        <v>16.0</v>
      </c>
    </row>
    <row r="53">
      <c r="B53" s="25"/>
      <c r="C53" s="25"/>
      <c r="D53" s="25"/>
    </row>
    <row r="54">
      <c r="A54" s="23" t="s">
        <v>104</v>
      </c>
      <c r="B54" s="24">
        <v>330.0</v>
      </c>
      <c r="C54" s="24">
        <v>267.0</v>
      </c>
      <c r="D54" s="24">
        <v>209.0</v>
      </c>
    </row>
    <row r="55">
      <c r="B55" s="25"/>
      <c r="C55" s="25"/>
      <c r="D55" s="25"/>
    </row>
    <row r="56">
      <c r="A56" s="23" t="s">
        <v>106</v>
      </c>
      <c r="B56" s="25"/>
      <c r="C56" s="24" t="s">
        <v>107</v>
      </c>
      <c r="D56" s="24">
        <v>210.0</v>
      </c>
    </row>
    <row r="57">
      <c r="B57" s="25"/>
      <c r="C57" s="25"/>
      <c r="D57" s="25"/>
    </row>
    <row r="58">
      <c r="B58" s="25"/>
      <c r="C58" s="25"/>
      <c r="D58" s="25"/>
    </row>
    <row r="59">
      <c r="B59" s="25"/>
      <c r="C59" s="25"/>
      <c r="D59" s="25"/>
    </row>
    <row r="60">
      <c r="B60" s="25"/>
      <c r="C60" s="25"/>
      <c r="D60" s="25"/>
    </row>
    <row r="61">
      <c r="B61" s="25"/>
      <c r="C61" s="25"/>
      <c r="D61" s="25"/>
    </row>
    <row r="62">
      <c r="B62" s="25"/>
      <c r="C62" s="25"/>
      <c r="D62" s="25"/>
    </row>
    <row r="63">
      <c r="B63" s="25"/>
      <c r="C63" s="25"/>
      <c r="D63" s="25"/>
    </row>
    <row r="64">
      <c r="B64" s="25"/>
      <c r="C64" s="25"/>
      <c r="D64" s="25"/>
    </row>
    <row r="65">
      <c r="B65" s="25"/>
      <c r="C65" s="25"/>
      <c r="D65" s="25"/>
    </row>
    <row r="66">
      <c r="B66" s="25"/>
      <c r="C66" s="25"/>
      <c r="D66" s="25"/>
    </row>
    <row r="67">
      <c r="B67" s="25"/>
      <c r="C67" s="25"/>
      <c r="D67" s="25"/>
    </row>
    <row r="68">
      <c r="B68" s="25"/>
      <c r="C68" s="25"/>
      <c r="D68" s="25"/>
    </row>
    <row r="69">
      <c r="B69" s="25"/>
      <c r="C69" s="25"/>
      <c r="D69" s="25"/>
    </row>
    <row r="70">
      <c r="B70" s="25"/>
      <c r="C70" s="25"/>
      <c r="D70" s="25"/>
    </row>
    <row r="71">
      <c r="B71" s="25"/>
      <c r="C71" s="25"/>
      <c r="D71" s="25"/>
    </row>
    <row r="72">
      <c r="B72" s="25"/>
      <c r="C72" s="25"/>
      <c r="D72" s="25"/>
    </row>
    <row r="73">
      <c r="B73" s="25"/>
      <c r="C73" s="25"/>
      <c r="D73" s="25"/>
    </row>
    <row r="74">
      <c r="B74" s="25"/>
      <c r="D74" s="25"/>
    </row>
    <row r="75">
      <c r="B75" s="25"/>
      <c r="D75" s="25"/>
    </row>
    <row r="76">
      <c r="B76" s="25"/>
      <c r="D76" s="25"/>
    </row>
    <row r="77">
      <c r="B77" s="25"/>
      <c r="D77" s="25"/>
    </row>
    <row r="78">
      <c r="B78" s="25"/>
      <c r="D78" s="25"/>
    </row>
    <row r="79">
      <c r="B79" s="25"/>
      <c r="D79" s="25"/>
    </row>
    <row r="80">
      <c r="B80" s="25"/>
      <c r="D80" s="25"/>
    </row>
    <row r="81">
      <c r="B81" s="25"/>
      <c r="D81" s="25"/>
    </row>
    <row r="82">
      <c r="B82" s="25"/>
      <c r="D82" s="25"/>
    </row>
    <row r="83">
      <c r="B83" s="25"/>
      <c r="D83" s="25"/>
    </row>
    <row r="84">
      <c r="B84" s="25"/>
      <c r="D84" s="25"/>
    </row>
    <row r="85">
      <c r="B85" s="25"/>
      <c r="D85" s="25"/>
    </row>
    <row r="86">
      <c r="B86" s="25"/>
      <c r="D86" s="25"/>
    </row>
    <row r="87">
      <c r="B87" s="25"/>
      <c r="D87" s="25"/>
    </row>
    <row r="88">
      <c r="B88" s="25"/>
      <c r="D88" s="25"/>
    </row>
    <row r="89">
      <c r="B89" s="25"/>
      <c r="D89" s="25"/>
    </row>
    <row r="90">
      <c r="B90" s="25"/>
      <c r="D90" s="25"/>
    </row>
    <row r="91">
      <c r="B91" s="25"/>
      <c r="D91" s="25"/>
    </row>
    <row r="92">
      <c r="B92" s="25"/>
      <c r="D92" s="25"/>
    </row>
    <row r="93">
      <c r="B93" s="25"/>
      <c r="D93" s="25"/>
    </row>
    <row r="94">
      <c r="B94" s="25"/>
      <c r="D94" s="25"/>
    </row>
    <row r="95">
      <c r="B95" s="25"/>
      <c r="D95" s="25"/>
    </row>
    <row r="96">
      <c r="B96" s="25"/>
      <c r="D96" s="25"/>
    </row>
    <row r="97">
      <c r="B97" s="25"/>
      <c r="D97" s="25"/>
    </row>
    <row r="98">
      <c r="B98" s="25"/>
      <c r="D98" s="25"/>
    </row>
    <row r="99">
      <c r="B99" s="25"/>
      <c r="D99" s="25"/>
    </row>
    <row r="100">
      <c r="B100" s="25"/>
      <c r="D100" s="25"/>
    </row>
    <row r="101">
      <c r="B101" s="25"/>
      <c r="D101" s="25"/>
    </row>
    <row r="102">
      <c r="B102" s="25"/>
      <c r="D102" s="25"/>
    </row>
    <row r="103">
      <c r="B103" s="25"/>
      <c r="D103" s="25"/>
    </row>
    <row r="104">
      <c r="B104" s="25"/>
      <c r="D104" s="25"/>
    </row>
    <row r="105">
      <c r="B105" s="25"/>
      <c r="D105" s="25"/>
    </row>
    <row r="106">
      <c r="B106" s="25"/>
      <c r="D106" s="25"/>
    </row>
    <row r="107">
      <c r="B107" s="25"/>
      <c r="D107" s="25"/>
    </row>
    <row r="108">
      <c r="B108" s="25"/>
      <c r="D108" s="25"/>
    </row>
    <row r="109">
      <c r="B109" s="25"/>
      <c r="D109" s="25"/>
    </row>
    <row r="110">
      <c r="B110" s="25"/>
      <c r="D110" s="25"/>
    </row>
    <row r="111">
      <c r="B111" s="25"/>
      <c r="D111" s="25"/>
    </row>
    <row r="112">
      <c r="B112" s="25"/>
      <c r="D112" s="25"/>
    </row>
    <row r="113">
      <c r="B113" s="25"/>
      <c r="D113" s="25"/>
    </row>
    <row r="114">
      <c r="B114" s="25"/>
      <c r="D114" s="25"/>
    </row>
    <row r="115">
      <c r="B115" s="25"/>
      <c r="D115" s="25"/>
    </row>
    <row r="116">
      <c r="B116" s="25"/>
      <c r="D116" s="25"/>
    </row>
    <row r="117">
      <c r="B117" s="25"/>
      <c r="D117" s="25"/>
    </row>
    <row r="118">
      <c r="B118" s="25"/>
      <c r="D118" s="25"/>
    </row>
    <row r="119">
      <c r="B119" s="25"/>
      <c r="D119" s="25"/>
    </row>
    <row r="120">
      <c r="B120" s="25"/>
      <c r="D120" s="25"/>
    </row>
    <row r="121">
      <c r="B121" s="25"/>
      <c r="D121" s="25"/>
    </row>
    <row r="122">
      <c r="B122" s="25"/>
      <c r="D122" s="25"/>
    </row>
    <row r="123">
      <c r="B123" s="25"/>
      <c r="D123" s="25"/>
    </row>
    <row r="124">
      <c r="B124" s="25"/>
      <c r="D124" s="25"/>
    </row>
    <row r="125">
      <c r="B125" s="25"/>
      <c r="D125" s="25"/>
    </row>
    <row r="126">
      <c r="B126" s="25"/>
      <c r="D126" s="25"/>
    </row>
    <row r="127">
      <c r="B127" s="25"/>
      <c r="D127" s="25"/>
    </row>
    <row r="128">
      <c r="B128" s="25"/>
      <c r="D128" s="25"/>
    </row>
    <row r="129">
      <c r="B129" s="25"/>
      <c r="D129" s="25"/>
    </row>
    <row r="130">
      <c r="B130" s="25"/>
      <c r="D130" s="25"/>
    </row>
    <row r="131">
      <c r="B131" s="25"/>
      <c r="D131" s="25"/>
    </row>
    <row r="132">
      <c r="B132" s="25"/>
      <c r="D132" s="25"/>
    </row>
    <row r="133">
      <c r="B133" s="25"/>
      <c r="D133" s="25"/>
    </row>
    <row r="134">
      <c r="B134" s="25"/>
      <c r="D134" s="25"/>
    </row>
    <row r="135">
      <c r="B135" s="25"/>
      <c r="D135" s="25"/>
    </row>
    <row r="136">
      <c r="B136" s="25"/>
      <c r="D136" s="25"/>
    </row>
    <row r="137">
      <c r="B137" s="25"/>
      <c r="D137" s="25"/>
    </row>
    <row r="138">
      <c r="B138" s="25"/>
      <c r="D138" s="25"/>
    </row>
    <row r="139">
      <c r="B139" s="25"/>
      <c r="D139" s="25"/>
    </row>
    <row r="140">
      <c r="B140" s="25"/>
      <c r="D140" s="25"/>
    </row>
    <row r="141">
      <c r="B141" s="25"/>
      <c r="D141" s="25"/>
    </row>
    <row r="142">
      <c r="B142" s="25"/>
      <c r="D142" s="25"/>
    </row>
    <row r="143">
      <c r="B143" s="25"/>
      <c r="D143" s="25"/>
    </row>
    <row r="144">
      <c r="B144" s="25"/>
      <c r="D144" s="25"/>
    </row>
    <row r="145">
      <c r="B145" s="25"/>
      <c r="D145" s="25"/>
    </row>
    <row r="146">
      <c r="B146" s="25"/>
      <c r="D146" s="25"/>
    </row>
    <row r="147">
      <c r="B147" s="25"/>
      <c r="D147" s="25"/>
    </row>
    <row r="148">
      <c r="B148" s="25"/>
      <c r="D148" s="25"/>
    </row>
    <row r="149">
      <c r="B149" s="25"/>
      <c r="D149" s="25"/>
    </row>
    <row r="150">
      <c r="B150" s="25"/>
      <c r="D150" s="25"/>
    </row>
    <row r="151">
      <c r="B151" s="25"/>
      <c r="D151" s="25"/>
    </row>
    <row r="152">
      <c r="B152" s="25"/>
      <c r="D152" s="25"/>
    </row>
    <row r="153">
      <c r="B153" s="25"/>
      <c r="D153" s="25"/>
    </row>
    <row r="154">
      <c r="B154" s="25"/>
      <c r="D154" s="25"/>
    </row>
    <row r="155">
      <c r="B155" s="25"/>
      <c r="D155" s="25"/>
    </row>
    <row r="156">
      <c r="B156" s="25"/>
      <c r="D156" s="25"/>
    </row>
    <row r="157">
      <c r="B157" s="25"/>
      <c r="D157" s="25"/>
    </row>
    <row r="158">
      <c r="B158" s="25"/>
      <c r="D158" s="25"/>
    </row>
    <row r="159">
      <c r="B159" s="25"/>
      <c r="D159" s="25"/>
    </row>
    <row r="160">
      <c r="B160" s="25"/>
      <c r="D160" s="25"/>
    </row>
    <row r="161">
      <c r="B161" s="25"/>
      <c r="D161" s="25"/>
    </row>
    <row r="162">
      <c r="B162" s="25"/>
      <c r="D162" s="25"/>
    </row>
    <row r="163">
      <c r="B163" s="25"/>
      <c r="D163" s="25"/>
    </row>
    <row r="164">
      <c r="B164" s="25"/>
      <c r="D164" s="25"/>
    </row>
    <row r="165">
      <c r="B165" s="25"/>
      <c r="D165" s="25"/>
    </row>
    <row r="166">
      <c r="B166" s="25"/>
      <c r="D166" s="25"/>
    </row>
    <row r="167">
      <c r="B167" s="25"/>
      <c r="D167" s="25"/>
    </row>
    <row r="168">
      <c r="B168" s="25"/>
      <c r="D168" s="25"/>
    </row>
    <row r="169">
      <c r="B169" s="25"/>
      <c r="D169" s="25"/>
    </row>
    <row r="170">
      <c r="B170" s="25"/>
      <c r="D170" s="25"/>
    </row>
    <row r="171">
      <c r="B171" s="25"/>
      <c r="D171" s="25"/>
    </row>
    <row r="172">
      <c r="B172" s="25"/>
      <c r="D172" s="25"/>
    </row>
    <row r="173">
      <c r="B173" s="25"/>
      <c r="D173" s="25"/>
    </row>
    <row r="174">
      <c r="B174" s="25"/>
      <c r="D174" s="25"/>
    </row>
    <row r="175">
      <c r="B175" s="25"/>
      <c r="D175" s="25"/>
    </row>
    <row r="176">
      <c r="B176" s="25"/>
      <c r="D176" s="25"/>
    </row>
    <row r="177">
      <c r="B177" s="25"/>
      <c r="D177" s="25"/>
    </row>
    <row r="178">
      <c r="B178" s="25"/>
      <c r="D178" s="25"/>
    </row>
    <row r="179">
      <c r="B179" s="25"/>
      <c r="D179" s="25"/>
    </row>
    <row r="180">
      <c r="B180" s="25"/>
      <c r="D180" s="25"/>
    </row>
    <row r="181">
      <c r="B181" s="25"/>
      <c r="D181" s="25"/>
    </row>
    <row r="182">
      <c r="B182" s="25"/>
      <c r="D182" s="25"/>
    </row>
    <row r="183">
      <c r="B183" s="25"/>
      <c r="D183" s="25"/>
    </row>
    <row r="184">
      <c r="B184" s="25"/>
      <c r="D184" s="25"/>
    </row>
    <row r="185">
      <c r="B185" s="25"/>
      <c r="D185" s="25"/>
    </row>
    <row r="186">
      <c r="B186" s="25"/>
      <c r="D186" s="25"/>
    </row>
    <row r="187">
      <c r="B187" s="25"/>
      <c r="D187" s="25"/>
    </row>
    <row r="188">
      <c r="B188" s="25"/>
      <c r="D188" s="25"/>
    </row>
    <row r="189">
      <c r="B189" s="25"/>
      <c r="D189" s="25"/>
    </row>
    <row r="190">
      <c r="B190" s="25"/>
      <c r="D190" s="25"/>
    </row>
    <row r="191">
      <c r="B191" s="25"/>
      <c r="D191" s="25"/>
    </row>
    <row r="192">
      <c r="B192" s="25"/>
      <c r="D192" s="25"/>
    </row>
    <row r="193">
      <c r="B193" s="25"/>
      <c r="D193" s="25"/>
    </row>
    <row r="194">
      <c r="B194" s="25"/>
      <c r="D194" s="25"/>
    </row>
    <row r="195">
      <c r="B195" s="25"/>
      <c r="D195" s="25"/>
    </row>
    <row r="196">
      <c r="B196" s="25"/>
      <c r="D196" s="25"/>
    </row>
    <row r="197">
      <c r="B197" s="25"/>
      <c r="D197" s="25"/>
    </row>
    <row r="198">
      <c r="B198" s="25"/>
      <c r="D198" s="25"/>
    </row>
    <row r="199">
      <c r="B199" s="25"/>
      <c r="D199" s="25"/>
    </row>
    <row r="200">
      <c r="B200" s="25"/>
      <c r="D200" s="25"/>
    </row>
    <row r="201">
      <c r="B201" s="25"/>
      <c r="D201" s="25"/>
    </row>
    <row r="202">
      <c r="B202" s="25"/>
      <c r="D202" s="25"/>
    </row>
    <row r="203">
      <c r="B203" s="25"/>
      <c r="D203" s="25"/>
    </row>
    <row r="204">
      <c r="B204" s="25"/>
      <c r="D204" s="25"/>
    </row>
    <row r="205">
      <c r="B205" s="25"/>
      <c r="D205" s="25"/>
    </row>
    <row r="206">
      <c r="B206" s="25"/>
      <c r="D206" s="25"/>
    </row>
    <row r="207">
      <c r="B207" s="25"/>
      <c r="D207" s="25"/>
    </row>
    <row r="208">
      <c r="B208" s="25"/>
      <c r="D208" s="25"/>
    </row>
    <row r="209">
      <c r="B209" s="25"/>
      <c r="D209" s="25"/>
    </row>
    <row r="210">
      <c r="B210" s="25"/>
      <c r="D210" s="25"/>
    </row>
    <row r="211">
      <c r="B211" s="25"/>
      <c r="D211" s="25"/>
    </row>
    <row r="212">
      <c r="B212" s="25"/>
      <c r="D212" s="25"/>
    </row>
    <row r="213">
      <c r="B213" s="25"/>
      <c r="D213" s="25"/>
    </row>
    <row r="214">
      <c r="B214" s="25"/>
      <c r="D214" s="25"/>
    </row>
    <row r="215">
      <c r="B215" s="25"/>
      <c r="D215" s="25"/>
    </row>
    <row r="216">
      <c r="B216" s="25"/>
      <c r="D216" s="25"/>
    </row>
    <row r="217">
      <c r="B217" s="25"/>
      <c r="D217" s="25"/>
    </row>
    <row r="218">
      <c r="B218" s="25"/>
      <c r="D218" s="25"/>
    </row>
    <row r="219">
      <c r="B219" s="25"/>
      <c r="D219" s="25"/>
    </row>
    <row r="220">
      <c r="B220" s="25"/>
      <c r="D220" s="25"/>
    </row>
    <row r="221">
      <c r="B221" s="25"/>
      <c r="D221" s="25"/>
    </row>
    <row r="222">
      <c r="B222" s="25"/>
      <c r="D222" s="25"/>
    </row>
    <row r="223">
      <c r="B223" s="25"/>
      <c r="D223" s="25"/>
    </row>
    <row r="224">
      <c r="B224" s="25"/>
      <c r="D224" s="25"/>
    </row>
    <row r="225">
      <c r="B225" s="25"/>
      <c r="D225" s="25"/>
    </row>
    <row r="226">
      <c r="B226" s="25"/>
      <c r="D226" s="25"/>
    </row>
    <row r="227">
      <c r="B227" s="25"/>
      <c r="D227" s="25"/>
    </row>
    <row r="228">
      <c r="B228" s="25"/>
      <c r="D228" s="25"/>
    </row>
    <row r="229">
      <c r="B229" s="25"/>
      <c r="D229" s="25"/>
    </row>
    <row r="230">
      <c r="B230" s="25"/>
      <c r="D230" s="25"/>
    </row>
    <row r="231">
      <c r="B231" s="25"/>
      <c r="D231" s="25"/>
    </row>
    <row r="232">
      <c r="B232" s="25"/>
      <c r="D232" s="25"/>
    </row>
    <row r="233">
      <c r="B233" s="25"/>
      <c r="D233" s="25"/>
    </row>
    <row r="234">
      <c r="B234" s="25"/>
      <c r="D234" s="25"/>
    </row>
    <row r="235">
      <c r="B235" s="25"/>
      <c r="D235" s="25"/>
    </row>
    <row r="236">
      <c r="B236" s="25"/>
      <c r="D236" s="25"/>
    </row>
    <row r="237">
      <c r="B237" s="25"/>
      <c r="D237" s="25"/>
    </row>
    <row r="238">
      <c r="B238" s="25"/>
      <c r="D238" s="25"/>
    </row>
    <row r="239">
      <c r="B239" s="25"/>
      <c r="D239" s="25"/>
    </row>
    <row r="240">
      <c r="B240" s="25"/>
      <c r="D240" s="25"/>
    </row>
    <row r="241">
      <c r="B241" s="25"/>
      <c r="D241" s="25"/>
    </row>
    <row r="242">
      <c r="B242" s="25"/>
      <c r="D242" s="25"/>
    </row>
    <row r="243">
      <c r="B243" s="25"/>
      <c r="D243" s="25"/>
    </row>
    <row r="244">
      <c r="B244" s="25"/>
      <c r="D244" s="25"/>
    </row>
    <row r="245">
      <c r="B245" s="25"/>
      <c r="D245" s="25"/>
    </row>
    <row r="246">
      <c r="B246" s="25"/>
      <c r="D246" s="25"/>
    </row>
    <row r="247">
      <c r="B247" s="25"/>
      <c r="D247" s="25"/>
    </row>
    <row r="248">
      <c r="B248" s="25"/>
      <c r="D248" s="25"/>
    </row>
    <row r="249">
      <c r="B249" s="25"/>
      <c r="D249" s="25"/>
    </row>
    <row r="250">
      <c r="B250" s="25"/>
      <c r="D250" s="25"/>
    </row>
    <row r="251">
      <c r="B251" s="25"/>
      <c r="D251" s="25"/>
    </row>
    <row r="252">
      <c r="B252" s="25"/>
      <c r="D252" s="25"/>
    </row>
    <row r="253">
      <c r="B253" s="25"/>
      <c r="D253" s="25"/>
    </row>
    <row r="254">
      <c r="B254" s="25"/>
      <c r="D254" s="25"/>
    </row>
    <row r="255">
      <c r="B255" s="25"/>
      <c r="D255" s="25"/>
    </row>
    <row r="256">
      <c r="B256" s="25"/>
      <c r="D256" s="25"/>
    </row>
    <row r="257">
      <c r="B257" s="25"/>
      <c r="D257" s="25"/>
    </row>
    <row r="258">
      <c r="B258" s="25"/>
      <c r="D258" s="25"/>
    </row>
    <row r="259">
      <c r="B259" s="25"/>
      <c r="D259" s="25"/>
    </row>
    <row r="260">
      <c r="B260" s="25"/>
      <c r="D260" s="25"/>
    </row>
    <row r="261">
      <c r="B261" s="25"/>
      <c r="D261" s="25"/>
    </row>
    <row r="262">
      <c r="B262" s="25"/>
      <c r="D262" s="25"/>
    </row>
    <row r="263">
      <c r="B263" s="25"/>
      <c r="D263" s="25"/>
    </row>
    <row r="264">
      <c r="B264" s="25"/>
      <c r="D264" s="25"/>
    </row>
    <row r="265">
      <c r="B265" s="25"/>
      <c r="D265" s="25"/>
    </row>
    <row r="266">
      <c r="B266" s="25"/>
      <c r="D266" s="25"/>
    </row>
    <row r="267">
      <c r="B267" s="25"/>
      <c r="D267" s="25"/>
    </row>
    <row r="268">
      <c r="B268" s="25"/>
      <c r="D268" s="25"/>
    </row>
    <row r="269">
      <c r="B269" s="25"/>
      <c r="D269" s="25"/>
    </row>
    <row r="270">
      <c r="B270" s="25"/>
      <c r="D270" s="25"/>
    </row>
    <row r="271">
      <c r="B271" s="25"/>
      <c r="D271" s="25"/>
    </row>
    <row r="272">
      <c r="B272" s="25"/>
      <c r="D272" s="25"/>
    </row>
    <row r="273">
      <c r="B273" s="25"/>
      <c r="D273" s="25"/>
    </row>
    <row r="274">
      <c r="B274" s="25"/>
      <c r="D274" s="25"/>
    </row>
    <row r="275">
      <c r="B275" s="25"/>
      <c r="D275" s="25"/>
    </row>
    <row r="276">
      <c r="B276" s="25"/>
      <c r="D276" s="25"/>
    </row>
    <row r="277">
      <c r="B277" s="25"/>
      <c r="D277" s="25"/>
    </row>
    <row r="278">
      <c r="B278" s="25"/>
      <c r="D278" s="25"/>
    </row>
    <row r="279">
      <c r="B279" s="25"/>
      <c r="D279" s="25"/>
    </row>
    <row r="280">
      <c r="B280" s="25"/>
      <c r="D280" s="25"/>
    </row>
    <row r="281">
      <c r="B281" s="25"/>
      <c r="D281" s="25"/>
    </row>
    <row r="282">
      <c r="B282" s="25"/>
      <c r="D282" s="25"/>
    </row>
    <row r="283">
      <c r="B283" s="25"/>
      <c r="D283" s="25"/>
    </row>
    <row r="284">
      <c r="B284" s="25"/>
      <c r="D284" s="25"/>
    </row>
    <row r="285">
      <c r="B285" s="25"/>
      <c r="D285" s="25"/>
    </row>
    <row r="286">
      <c r="B286" s="25"/>
      <c r="D286" s="25"/>
    </row>
    <row r="287">
      <c r="B287" s="25"/>
      <c r="D287" s="25"/>
    </row>
    <row r="288">
      <c r="B288" s="25"/>
      <c r="D288" s="25"/>
    </row>
    <row r="289">
      <c r="B289" s="25"/>
      <c r="D289" s="25"/>
    </row>
    <row r="290">
      <c r="B290" s="25"/>
      <c r="D290" s="25"/>
    </row>
    <row r="291">
      <c r="B291" s="25"/>
      <c r="D291" s="25"/>
    </row>
    <row r="292">
      <c r="B292" s="25"/>
      <c r="D292" s="25"/>
    </row>
    <row r="293">
      <c r="B293" s="25"/>
      <c r="D293" s="25"/>
    </row>
    <row r="294">
      <c r="B294" s="25"/>
      <c r="D294" s="25"/>
    </row>
    <row r="295">
      <c r="B295" s="25"/>
      <c r="D295" s="25"/>
    </row>
    <row r="296">
      <c r="B296" s="25"/>
      <c r="D296" s="25"/>
    </row>
    <row r="297">
      <c r="B297" s="25"/>
      <c r="D297" s="25"/>
    </row>
    <row r="298">
      <c r="B298" s="25"/>
      <c r="D298" s="25"/>
    </row>
    <row r="299">
      <c r="B299" s="25"/>
      <c r="D299" s="25"/>
    </row>
    <row r="300">
      <c r="B300" s="25"/>
      <c r="D300" s="25"/>
    </row>
    <row r="301">
      <c r="B301" s="25"/>
      <c r="D301" s="25"/>
    </row>
    <row r="302">
      <c r="B302" s="25"/>
      <c r="D302" s="25"/>
    </row>
    <row r="303">
      <c r="B303" s="25"/>
      <c r="D303" s="25"/>
    </row>
    <row r="304">
      <c r="B304" s="25"/>
      <c r="D304" s="25"/>
    </row>
    <row r="305">
      <c r="B305" s="25"/>
      <c r="D305" s="25"/>
    </row>
    <row r="306">
      <c r="B306" s="25"/>
      <c r="D306" s="25"/>
    </row>
    <row r="307">
      <c r="B307" s="25"/>
      <c r="D307" s="25"/>
    </row>
    <row r="308">
      <c r="B308" s="25"/>
      <c r="D308" s="25"/>
    </row>
    <row r="309">
      <c r="B309" s="25"/>
      <c r="D309" s="25"/>
    </row>
    <row r="310">
      <c r="B310" s="25"/>
      <c r="D310" s="25"/>
    </row>
    <row r="311">
      <c r="B311" s="25"/>
      <c r="D311" s="25"/>
    </row>
    <row r="312">
      <c r="B312" s="25"/>
      <c r="D312" s="25"/>
    </row>
    <row r="313">
      <c r="B313" s="25"/>
      <c r="D313" s="25"/>
    </row>
    <row r="314">
      <c r="B314" s="25"/>
      <c r="D314" s="25"/>
    </row>
    <row r="315">
      <c r="B315" s="25"/>
      <c r="D315" s="25"/>
    </row>
    <row r="316">
      <c r="B316" s="25"/>
      <c r="D316" s="25"/>
    </row>
    <row r="317">
      <c r="B317" s="25"/>
      <c r="D317" s="25"/>
    </row>
    <row r="318">
      <c r="B318" s="25"/>
      <c r="D318" s="25"/>
    </row>
    <row r="319">
      <c r="B319" s="25"/>
      <c r="D319" s="25"/>
    </row>
    <row r="320">
      <c r="B320" s="25"/>
      <c r="D320" s="25"/>
    </row>
    <row r="321">
      <c r="B321" s="25"/>
      <c r="D321" s="25"/>
    </row>
    <row r="322">
      <c r="B322" s="25"/>
      <c r="D322" s="25"/>
    </row>
    <row r="323">
      <c r="B323" s="25"/>
      <c r="D323" s="25"/>
    </row>
    <row r="324">
      <c r="B324" s="25"/>
      <c r="D324" s="25"/>
    </row>
    <row r="325">
      <c r="B325" s="25"/>
      <c r="D325" s="25"/>
    </row>
    <row r="326">
      <c r="B326" s="25"/>
      <c r="D326" s="25"/>
    </row>
    <row r="327">
      <c r="B327" s="25"/>
      <c r="D327" s="25"/>
    </row>
    <row r="328">
      <c r="B328" s="25"/>
      <c r="D328" s="25"/>
    </row>
    <row r="329">
      <c r="B329" s="25"/>
      <c r="D329" s="25"/>
    </row>
    <row r="330">
      <c r="B330" s="25"/>
      <c r="D330" s="25"/>
    </row>
    <row r="331">
      <c r="B331" s="25"/>
      <c r="D331" s="25"/>
    </row>
    <row r="332">
      <c r="B332" s="25"/>
      <c r="D332" s="25"/>
    </row>
    <row r="333">
      <c r="B333" s="25"/>
      <c r="D333" s="25"/>
    </row>
    <row r="334">
      <c r="B334" s="25"/>
      <c r="D334" s="25"/>
    </row>
    <row r="335">
      <c r="B335" s="25"/>
      <c r="D335" s="25"/>
    </row>
    <row r="336">
      <c r="B336" s="25"/>
      <c r="D336" s="25"/>
    </row>
    <row r="337">
      <c r="B337" s="25"/>
      <c r="D337" s="25"/>
    </row>
    <row r="338">
      <c r="B338" s="25"/>
      <c r="D338" s="25"/>
    </row>
    <row r="339">
      <c r="B339" s="25"/>
      <c r="D339" s="25"/>
    </row>
    <row r="340">
      <c r="B340" s="25"/>
      <c r="D340" s="25"/>
    </row>
    <row r="341">
      <c r="B341" s="25"/>
      <c r="D341" s="25"/>
    </row>
    <row r="342">
      <c r="B342" s="25"/>
      <c r="D342" s="25"/>
    </row>
    <row r="343">
      <c r="B343" s="25"/>
      <c r="D343" s="25"/>
    </row>
    <row r="344">
      <c r="B344" s="25"/>
      <c r="D344" s="25"/>
    </row>
    <row r="345">
      <c r="B345" s="25"/>
      <c r="D345" s="25"/>
    </row>
    <row r="346">
      <c r="B346" s="25"/>
      <c r="D346" s="25"/>
    </row>
    <row r="347">
      <c r="B347" s="25"/>
      <c r="D347" s="25"/>
    </row>
    <row r="348">
      <c r="B348" s="25"/>
      <c r="D348" s="25"/>
    </row>
    <row r="349">
      <c r="B349" s="25"/>
      <c r="D349" s="25"/>
    </row>
    <row r="350">
      <c r="B350" s="25"/>
      <c r="D350" s="25"/>
    </row>
    <row r="351">
      <c r="B351" s="25"/>
      <c r="D351" s="25"/>
    </row>
    <row r="352">
      <c r="B352" s="25"/>
      <c r="D352" s="25"/>
    </row>
    <row r="353">
      <c r="B353" s="25"/>
      <c r="D353" s="25"/>
    </row>
    <row r="354">
      <c r="B354" s="25"/>
      <c r="D354" s="25"/>
    </row>
    <row r="355">
      <c r="B355" s="25"/>
      <c r="D355" s="25"/>
    </row>
    <row r="356">
      <c r="B356" s="25"/>
      <c r="D356" s="25"/>
    </row>
    <row r="357">
      <c r="B357" s="25"/>
      <c r="D357" s="25"/>
    </row>
    <row r="358">
      <c r="B358" s="25"/>
      <c r="D358" s="25"/>
    </row>
    <row r="359">
      <c r="B359" s="25"/>
      <c r="D359" s="25"/>
    </row>
    <row r="360">
      <c r="B360" s="25"/>
      <c r="D360" s="25"/>
    </row>
    <row r="361">
      <c r="B361" s="25"/>
      <c r="D361" s="25"/>
    </row>
    <row r="362">
      <c r="B362" s="25"/>
      <c r="D362" s="25"/>
    </row>
    <row r="363">
      <c r="B363" s="25"/>
      <c r="D363" s="25"/>
    </row>
    <row r="364">
      <c r="B364" s="25"/>
      <c r="D364" s="25"/>
    </row>
    <row r="365">
      <c r="B365" s="25"/>
      <c r="D365" s="25"/>
    </row>
    <row r="366">
      <c r="B366" s="25"/>
      <c r="D366" s="25"/>
    </row>
    <row r="367">
      <c r="B367" s="25"/>
      <c r="D367" s="25"/>
    </row>
    <row r="368">
      <c r="B368" s="25"/>
      <c r="D368" s="25"/>
    </row>
    <row r="369">
      <c r="B369" s="25"/>
      <c r="D369" s="25"/>
    </row>
    <row r="370">
      <c r="B370" s="25"/>
      <c r="D370" s="25"/>
    </row>
    <row r="371">
      <c r="B371" s="25"/>
      <c r="D371" s="25"/>
    </row>
    <row r="372">
      <c r="B372" s="25"/>
      <c r="D372" s="25"/>
    </row>
    <row r="373">
      <c r="B373" s="25"/>
      <c r="D373" s="25"/>
    </row>
    <row r="374">
      <c r="B374" s="25"/>
      <c r="D374" s="25"/>
    </row>
    <row r="375">
      <c r="B375" s="25"/>
      <c r="D375" s="25"/>
    </row>
    <row r="376">
      <c r="B376" s="25"/>
      <c r="D376" s="25"/>
    </row>
    <row r="377">
      <c r="B377" s="25"/>
      <c r="D377" s="25"/>
    </row>
    <row r="378">
      <c r="B378" s="25"/>
      <c r="D378" s="25"/>
    </row>
    <row r="379">
      <c r="B379" s="25"/>
      <c r="D379" s="25"/>
    </row>
    <row r="380">
      <c r="B380" s="25"/>
      <c r="D380" s="25"/>
    </row>
    <row r="381">
      <c r="B381" s="25"/>
      <c r="D381" s="25"/>
    </row>
    <row r="382">
      <c r="B382" s="25"/>
      <c r="D382" s="25"/>
    </row>
    <row r="383">
      <c r="B383" s="25"/>
      <c r="D383" s="25"/>
    </row>
    <row r="384">
      <c r="B384" s="25"/>
      <c r="D384" s="25"/>
    </row>
    <row r="385">
      <c r="B385" s="25"/>
      <c r="D385" s="25"/>
    </row>
    <row r="386">
      <c r="B386" s="25"/>
      <c r="D386" s="25"/>
    </row>
    <row r="387">
      <c r="B387" s="25"/>
      <c r="D387" s="25"/>
    </row>
    <row r="388">
      <c r="B388" s="25"/>
      <c r="D388" s="25"/>
    </row>
    <row r="389">
      <c r="B389" s="25"/>
      <c r="D389" s="25"/>
    </row>
    <row r="390">
      <c r="B390" s="25"/>
      <c r="D390" s="25"/>
    </row>
    <row r="391">
      <c r="B391" s="25"/>
      <c r="D391" s="25"/>
    </row>
    <row r="392">
      <c r="B392" s="25"/>
      <c r="D392" s="25"/>
    </row>
    <row r="393">
      <c r="B393" s="25"/>
      <c r="D393" s="25"/>
    </row>
    <row r="394">
      <c r="B394" s="25"/>
      <c r="D394" s="25"/>
    </row>
    <row r="395">
      <c r="B395" s="25"/>
      <c r="D395" s="25"/>
    </row>
    <row r="396">
      <c r="B396" s="25"/>
      <c r="D396" s="25"/>
    </row>
    <row r="397">
      <c r="B397" s="25"/>
      <c r="D397" s="25"/>
    </row>
    <row r="398">
      <c r="B398" s="25"/>
      <c r="D398" s="25"/>
    </row>
    <row r="399">
      <c r="B399" s="25"/>
      <c r="D399" s="25"/>
    </row>
    <row r="400">
      <c r="B400" s="25"/>
      <c r="D400" s="25"/>
    </row>
    <row r="401">
      <c r="B401" s="25"/>
      <c r="D401" s="25"/>
    </row>
    <row r="402">
      <c r="B402" s="25"/>
      <c r="D402" s="25"/>
    </row>
    <row r="403">
      <c r="B403" s="25"/>
      <c r="D403" s="25"/>
    </row>
    <row r="404">
      <c r="B404" s="25"/>
      <c r="D404" s="25"/>
    </row>
    <row r="405">
      <c r="B405" s="25"/>
      <c r="D405" s="25"/>
    </row>
    <row r="406">
      <c r="B406" s="25"/>
      <c r="D406" s="25"/>
    </row>
    <row r="407">
      <c r="B407" s="25"/>
      <c r="D407" s="25"/>
    </row>
    <row r="408">
      <c r="B408" s="25"/>
      <c r="D408" s="25"/>
    </row>
    <row r="409">
      <c r="B409" s="25"/>
      <c r="D409" s="25"/>
    </row>
    <row r="410">
      <c r="B410" s="25"/>
      <c r="D410" s="25"/>
    </row>
    <row r="411">
      <c r="B411" s="25"/>
      <c r="D411" s="25"/>
    </row>
    <row r="412">
      <c r="B412" s="25"/>
      <c r="D412" s="25"/>
    </row>
    <row r="413">
      <c r="B413" s="25"/>
      <c r="D413" s="25"/>
    </row>
    <row r="414">
      <c r="B414" s="25"/>
      <c r="D414" s="25"/>
    </row>
    <row r="415">
      <c r="B415" s="25"/>
      <c r="D415" s="25"/>
    </row>
    <row r="416">
      <c r="B416" s="25"/>
      <c r="D416" s="25"/>
    </row>
    <row r="417">
      <c r="B417" s="25"/>
      <c r="D417" s="25"/>
    </row>
    <row r="418">
      <c r="B418" s="25"/>
      <c r="D418" s="25"/>
    </row>
    <row r="419">
      <c r="B419" s="25"/>
      <c r="D419" s="25"/>
    </row>
    <row r="420">
      <c r="B420" s="25"/>
      <c r="D420" s="25"/>
    </row>
    <row r="421">
      <c r="B421" s="25"/>
      <c r="D421" s="25"/>
    </row>
    <row r="422">
      <c r="B422" s="25"/>
      <c r="D422" s="25"/>
    </row>
    <row r="423">
      <c r="B423" s="25"/>
      <c r="D423" s="25"/>
    </row>
    <row r="424">
      <c r="B424" s="25"/>
      <c r="D424" s="25"/>
    </row>
    <row r="425">
      <c r="B425" s="25"/>
      <c r="D425" s="25"/>
    </row>
    <row r="426">
      <c r="B426" s="25"/>
      <c r="D426" s="25"/>
    </row>
    <row r="427">
      <c r="B427" s="25"/>
      <c r="D427" s="25"/>
    </row>
    <row r="428">
      <c r="B428" s="25"/>
      <c r="D428" s="25"/>
    </row>
    <row r="429">
      <c r="B429" s="25"/>
      <c r="D429" s="25"/>
    </row>
    <row r="430">
      <c r="B430" s="25"/>
      <c r="D430" s="25"/>
    </row>
    <row r="431">
      <c r="B431" s="25"/>
      <c r="D431" s="25"/>
    </row>
    <row r="432">
      <c r="B432" s="25"/>
      <c r="D432" s="25"/>
    </row>
    <row r="433">
      <c r="B433" s="25"/>
      <c r="D433" s="25"/>
    </row>
    <row r="434">
      <c r="B434" s="25"/>
      <c r="D434" s="25"/>
    </row>
    <row r="435">
      <c r="B435" s="25"/>
      <c r="D435" s="25"/>
    </row>
    <row r="436">
      <c r="B436" s="25"/>
      <c r="D436" s="25"/>
    </row>
    <row r="437">
      <c r="B437" s="25"/>
      <c r="D437" s="25"/>
    </row>
    <row r="438">
      <c r="B438" s="25"/>
      <c r="D438" s="25"/>
    </row>
    <row r="439">
      <c r="B439" s="25"/>
      <c r="D439" s="25"/>
    </row>
    <row r="440">
      <c r="B440" s="25"/>
      <c r="D440" s="25"/>
    </row>
    <row r="441">
      <c r="B441" s="25"/>
      <c r="D441" s="25"/>
    </row>
    <row r="442">
      <c r="B442" s="25"/>
      <c r="D442" s="25"/>
    </row>
    <row r="443">
      <c r="B443" s="25"/>
      <c r="D443" s="25"/>
    </row>
    <row r="444">
      <c r="B444" s="25"/>
      <c r="D444" s="25"/>
    </row>
    <row r="445">
      <c r="B445" s="25"/>
      <c r="D445" s="25"/>
    </row>
    <row r="446">
      <c r="B446" s="25"/>
      <c r="D446" s="25"/>
    </row>
    <row r="447">
      <c r="B447" s="25"/>
      <c r="D447" s="25"/>
    </row>
    <row r="448">
      <c r="B448" s="25"/>
      <c r="D448" s="25"/>
    </row>
    <row r="449">
      <c r="B449" s="25"/>
      <c r="D449" s="25"/>
    </row>
    <row r="450">
      <c r="B450" s="25"/>
      <c r="D450" s="25"/>
    </row>
    <row r="451">
      <c r="B451" s="25"/>
      <c r="D451" s="25"/>
    </row>
    <row r="452">
      <c r="B452" s="25"/>
      <c r="D452" s="25"/>
    </row>
    <row r="453">
      <c r="B453" s="25"/>
      <c r="D453" s="25"/>
    </row>
    <row r="454">
      <c r="B454" s="25"/>
      <c r="D454" s="25"/>
    </row>
    <row r="455">
      <c r="B455" s="25"/>
      <c r="D455" s="25"/>
    </row>
    <row r="456">
      <c r="B456" s="25"/>
      <c r="D456" s="25"/>
    </row>
    <row r="457">
      <c r="B457" s="25"/>
      <c r="D457" s="25"/>
    </row>
    <row r="458">
      <c r="B458" s="25"/>
      <c r="D458" s="25"/>
    </row>
    <row r="459">
      <c r="B459" s="25"/>
      <c r="D459" s="25"/>
    </row>
    <row r="460">
      <c r="B460" s="25"/>
      <c r="D460" s="25"/>
    </row>
    <row r="461">
      <c r="B461" s="25"/>
      <c r="D461" s="25"/>
    </row>
    <row r="462">
      <c r="B462" s="25"/>
      <c r="D462" s="25"/>
    </row>
    <row r="463">
      <c r="B463" s="25"/>
      <c r="D463" s="25"/>
    </row>
    <row r="464">
      <c r="B464" s="25"/>
      <c r="D464" s="25"/>
    </row>
    <row r="465">
      <c r="B465" s="25"/>
      <c r="D465" s="25"/>
    </row>
    <row r="466">
      <c r="B466" s="25"/>
      <c r="D466" s="25"/>
    </row>
    <row r="467">
      <c r="B467" s="25"/>
      <c r="D467" s="25"/>
    </row>
    <row r="468">
      <c r="B468" s="25"/>
      <c r="D468" s="25"/>
    </row>
    <row r="469">
      <c r="B469" s="25"/>
      <c r="D469" s="25"/>
    </row>
    <row r="470">
      <c r="B470" s="25"/>
      <c r="D470" s="25"/>
    </row>
    <row r="471">
      <c r="B471" s="25"/>
      <c r="D471" s="25"/>
    </row>
    <row r="472">
      <c r="B472" s="25"/>
      <c r="D472" s="25"/>
    </row>
    <row r="473">
      <c r="B473" s="25"/>
      <c r="D473" s="25"/>
    </row>
    <row r="474">
      <c r="B474" s="25"/>
      <c r="D474" s="25"/>
    </row>
    <row r="475">
      <c r="B475" s="25"/>
      <c r="D475" s="25"/>
    </row>
    <row r="476">
      <c r="B476" s="25"/>
      <c r="D476" s="25"/>
    </row>
    <row r="477">
      <c r="B477" s="25"/>
      <c r="D477" s="25"/>
    </row>
    <row r="478">
      <c r="B478" s="25"/>
      <c r="D478" s="25"/>
    </row>
    <row r="479">
      <c r="B479" s="25"/>
      <c r="D479" s="25"/>
    </row>
    <row r="480">
      <c r="B480" s="25"/>
      <c r="D480" s="25"/>
    </row>
    <row r="481">
      <c r="B481" s="25"/>
      <c r="D481" s="25"/>
    </row>
    <row r="482">
      <c r="B482" s="25"/>
      <c r="D482" s="25"/>
    </row>
    <row r="483">
      <c r="B483" s="25"/>
      <c r="D483" s="25"/>
    </row>
    <row r="484">
      <c r="B484" s="25"/>
      <c r="D484" s="25"/>
    </row>
    <row r="485">
      <c r="B485" s="25"/>
      <c r="D485" s="25"/>
    </row>
    <row r="486">
      <c r="B486" s="25"/>
      <c r="D486" s="25"/>
    </row>
    <row r="487">
      <c r="B487" s="25"/>
      <c r="D487" s="25"/>
    </row>
    <row r="488">
      <c r="B488" s="25"/>
      <c r="D488" s="25"/>
    </row>
    <row r="489">
      <c r="B489" s="25"/>
      <c r="D489" s="25"/>
    </row>
    <row r="490">
      <c r="B490" s="25"/>
      <c r="D490" s="25"/>
    </row>
    <row r="491">
      <c r="B491" s="25"/>
      <c r="D491" s="25"/>
    </row>
    <row r="492">
      <c r="B492" s="25"/>
      <c r="D492" s="25"/>
    </row>
    <row r="493">
      <c r="B493" s="25"/>
      <c r="D493" s="25"/>
    </row>
    <row r="494">
      <c r="B494" s="25"/>
      <c r="D494" s="25"/>
    </row>
    <row r="495">
      <c r="B495" s="25"/>
      <c r="D495" s="25"/>
    </row>
    <row r="496">
      <c r="B496" s="25"/>
      <c r="D496" s="25"/>
    </row>
    <row r="497">
      <c r="B497" s="25"/>
      <c r="D497" s="25"/>
    </row>
    <row r="498">
      <c r="B498" s="25"/>
      <c r="D498" s="25"/>
    </row>
    <row r="499">
      <c r="B499" s="25"/>
      <c r="D499" s="25"/>
    </row>
    <row r="500">
      <c r="B500" s="25"/>
      <c r="D500" s="25"/>
    </row>
    <row r="501">
      <c r="B501" s="25"/>
      <c r="D501" s="25"/>
    </row>
    <row r="502">
      <c r="B502" s="25"/>
      <c r="D502" s="25"/>
    </row>
    <row r="503">
      <c r="B503" s="25"/>
      <c r="D503" s="25"/>
    </row>
    <row r="504">
      <c r="B504" s="25"/>
      <c r="D504" s="25"/>
    </row>
    <row r="505">
      <c r="B505" s="25"/>
      <c r="D505" s="25"/>
    </row>
    <row r="506">
      <c r="B506" s="25"/>
      <c r="D506" s="25"/>
    </row>
    <row r="507">
      <c r="B507" s="25"/>
      <c r="D507" s="25"/>
    </row>
    <row r="508">
      <c r="B508" s="25"/>
      <c r="D508" s="25"/>
    </row>
    <row r="509">
      <c r="B509" s="25"/>
      <c r="D509" s="25"/>
    </row>
    <row r="510">
      <c r="B510" s="25"/>
      <c r="D510" s="25"/>
    </row>
    <row r="511">
      <c r="B511" s="25"/>
      <c r="D511" s="25"/>
    </row>
    <row r="512">
      <c r="B512" s="25"/>
      <c r="D512" s="25"/>
    </row>
    <row r="513">
      <c r="B513" s="25"/>
      <c r="D513" s="25"/>
    </row>
    <row r="514">
      <c r="B514" s="25"/>
      <c r="D514" s="25"/>
    </row>
    <row r="515">
      <c r="B515" s="25"/>
      <c r="D515" s="25"/>
    </row>
    <row r="516">
      <c r="B516" s="25"/>
      <c r="D516" s="25"/>
    </row>
    <row r="517">
      <c r="B517" s="25"/>
      <c r="D517" s="25"/>
    </row>
    <row r="518">
      <c r="B518" s="25"/>
      <c r="D518" s="25"/>
    </row>
    <row r="519">
      <c r="B519" s="25"/>
      <c r="D519" s="25"/>
    </row>
    <row r="520">
      <c r="B520" s="25"/>
      <c r="D520" s="25"/>
    </row>
    <row r="521">
      <c r="B521" s="25"/>
      <c r="D521" s="25"/>
    </row>
    <row r="522">
      <c r="B522" s="25"/>
      <c r="D522" s="25"/>
    </row>
    <row r="523">
      <c r="B523" s="25"/>
      <c r="D523" s="25"/>
    </row>
    <row r="524">
      <c r="B524" s="25"/>
      <c r="D524" s="25"/>
    </row>
    <row r="525">
      <c r="B525" s="25"/>
      <c r="D525" s="25"/>
    </row>
    <row r="526">
      <c r="B526" s="25"/>
      <c r="D526" s="25"/>
    </row>
    <row r="527">
      <c r="B527" s="25"/>
      <c r="D527" s="25"/>
    </row>
    <row r="528">
      <c r="B528" s="25"/>
      <c r="D528" s="25"/>
    </row>
    <row r="529">
      <c r="B529" s="25"/>
      <c r="D529" s="25"/>
    </row>
    <row r="530">
      <c r="B530" s="25"/>
      <c r="D530" s="25"/>
    </row>
    <row r="531">
      <c r="B531" s="25"/>
      <c r="D531" s="25"/>
    </row>
    <row r="532">
      <c r="B532" s="25"/>
      <c r="D532" s="25"/>
    </row>
    <row r="533">
      <c r="B533" s="25"/>
      <c r="D533" s="25"/>
    </row>
    <row r="534">
      <c r="B534" s="25"/>
      <c r="D534" s="25"/>
    </row>
    <row r="535">
      <c r="B535" s="25"/>
      <c r="D535" s="25"/>
    </row>
    <row r="536">
      <c r="B536" s="25"/>
      <c r="D536" s="25"/>
    </row>
    <row r="537">
      <c r="B537" s="25"/>
      <c r="D537" s="25"/>
    </row>
    <row r="538">
      <c r="B538" s="25"/>
      <c r="D538" s="25"/>
    </row>
    <row r="539">
      <c r="B539" s="25"/>
      <c r="D539" s="25"/>
    </row>
    <row r="540">
      <c r="B540" s="25"/>
      <c r="D540" s="25"/>
    </row>
    <row r="541">
      <c r="B541" s="25"/>
      <c r="D541" s="25"/>
    </row>
    <row r="542">
      <c r="B542" s="25"/>
      <c r="D542" s="25"/>
    </row>
    <row r="543">
      <c r="B543" s="25"/>
      <c r="D543" s="25"/>
    </row>
    <row r="544">
      <c r="B544" s="25"/>
      <c r="D544" s="25"/>
    </row>
    <row r="545">
      <c r="B545" s="25"/>
      <c r="D545" s="25"/>
    </row>
    <row r="546">
      <c r="B546" s="25"/>
      <c r="D546" s="25"/>
    </row>
    <row r="547">
      <c r="B547" s="25"/>
      <c r="D547" s="25"/>
    </row>
    <row r="548">
      <c r="B548" s="25"/>
      <c r="D548" s="25"/>
    </row>
    <row r="549">
      <c r="B549" s="25"/>
      <c r="D549" s="25"/>
    </row>
    <row r="550">
      <c r="B550" s="25"/>
      <c r="D550" s="25"/>
    </row>
    <row r="551">
      <c r="B551" s="25"/>
      <c r="D551" s="25"/>
    </row>
    <row r="552">
      <c r="B552" s="25"/>
      <c r="D552" s="25"/>
    </row>
    <row r="553">
      <c r="B553" s="25"/>
      <c r="D553" s="25"/>
    </row>
    <row r="554">
      <c r="B554" s="25"/>
      <c r="D554" s="25"/>
    </row>
    <row r="555">
      <c r="B555" s="25"/>
      <c r="D555" s="25"/>
    </row>
    <row r="556">
      <c r="B556" s="25"/>
      <c r="D556" s="25"/>
    </row>
    <row r="557">
      <c r="B557" s="25"/>
      <c r="D557" s="25"/>
    </row>
    <row r="558">
      <c r="B558" s="25"/>
      <c r="D558" s="25"/>
    </row>
    <row r="559">
      <c r="B559" s="25"/>
      <c r="D559" s="25"/>
    </row>
    <row r="560">
      <c r="B560" s="25"/>
      <c r="D560" s="25"/>
    </row>
    <row r="561">
      <c r="B561" s="25"/>
      <c r="D561" s="25"/>
    </row>
    <row r="562">
      <c r="B562" s="25"/>
      <c r="D562" s="25"/>
    </row>
    <row r="563">
      <c r="B563" s="25"/>
      <c r="D563" s="25"/>
    </row>
    <row r="564">
      <c r="B564" s="25"/>
      <c r="D564" s="25"/>
    </row>
    <row r="565">
      <c r="B565" s="25"/>
      <c r="D565" s="25"/>
    </row>
    <row r="566">
      <c r="B566" s="25"/>
      <c r="D566" s="25"/>
    </row>
    <row r="567">
      <c r="B567" s="25"/>
      <c r="D567" s="25"/>
    </row>
    <row r="568">
      <c r="B568" s="25"/>
      <c r="D568" s="25"/>
    </row>
    <row r="569">
      <c r="B569" s="25"/>
      <c r="D569" s="25"/>
    </row>
    <row r="570">
      <c r="B570" s="25"/>
      <c r="D570" s="25"/>
    </row>
    <row r="571">
      <c r="B571" s="25"/>
      <c r="D571" s="25"/>
    </row>
    <row r="572">
      <c r="B572" s="25"/>
      <c r="D572" s="25"/>
    </row>
    <row r="573">
      <c r="B573" s="25"/>
      <c r="D573" s="25"/>
    </row>
    <row r="574">
      <c r="B574" s="25"/>
      <c r="D574" s="25"/>
    </row>
    <row r="575">
      <c r="B575" s="25"/>
      <c r="D575" s="25"/>
    </row>
    <row r="576">
      <c r="B576" s="25"/>
      <c r="D576" s="25"/>
    </row>
    <row r="577">
      <c r="B577" s="25"/>
      <c r="D577" s="25"/>
    </row>
    <row r="578">
      <c r="B578" s="25"/>
      <c r="D578" s="25"/>
    </row>
    <row r="579">
      <c r="B579" s="25"/>
      <c r="D579" s="25"/>
    </row>
    <row r="580">
      <c r="B580" s="25"/>
      <c r="D580" s="25"/>
    </row>
    <row r="581">
      <c r="B581" s="25"/>
      <c r="D581" s="25"/>
    </row>
    <row r="582">
      <c r="B582" s="25"/>
      <c r="D582" s="25"/>
    </row>
    <row r="583">
      <c r="B583" s="25"/>
      <c r="D583" s="25"/>
    </row>
    <row r="584">
      <c r="B584" s="25"/>
      <c r="D584" s="25"/>
    </row>
    <row r="585">
      <c r="B585" s="25"/>
      <c r="D585" s="25"/>
    </row>
    <row r="586">
      <c r="B586" s="25"/>
      <c r="D586" s="25"/>
    </row>
    <row r="587">
      <c r="B587" s="25"/>
      <c r="D587" s="25"/>
    </row>
    <row r="588">
      <c r="B588" s="25"/>
      <c r="D588" s="25"/>
    </row>
    <row r="589">
      <c r="B589" s="25"/>
      <c r="D589" s="25"/>
    </row>
    <row r="590">
      <c r="B590" s="25"/>
      <c r="D590" s="25"/>
    </row>
    <row r="591">
      <c r="B591" s="25"/>
      <c r="D591" s="25"/>
    </row>
    <row r="592">
      <c r="B592" s="25"/>
      <c r="D592" s="25"/>
    </row>
    <row r="593">
      <c r="B593" s="25"/>
      <c r="D593" s="25"/>
    </row>
    <row r="594">
      <c r="B594" s="25"/>
      <c r="D594" s="25"/>
    </row>
    <row r="595">
      <c r="B595" s="25"/>
      <c r="D595" s="25"/>
    </row>
    <row r="596">
      <c r="B596" s="25"/>
      <c r="D596" s="25"/>
    </row>
    <row r="597">
      <c r="B597" s="25"/>
      <c r="D597" s="25"/>
    </row>
    <row r="598">
      <c r="B598" s="25"/>
      <c r="D598" s="25"/>
    </row>
    <row r="599">
      <c r="B599" s="25"/>
      <c r="D599" s="25"/>
    </row>
    <row r="600">
      <c r="B600" s="25"/>
      <c r="D600" s="25"/>
    </row>
    <row r="601">
      <c r="B601" s="25"/>
      <c r="D601" s="25"/>
    </row>
    <row r="602">
      <c r="B602" s="25"/>
      <c r="D602" s="25"/>
    </row>
    <row r="603">
      <c r="B603" s="25"/>
      <c r="D603" s="25"/>
    </row>
    <row r="604">
      <c r="B604" s="25"/>
      <c r="D604" s="25"/>
    </row>
    <row r="605">
      <c r="B605" s="25"/>
      <c r="D605" s="25"/>
    </row>
    <row r="606">
      <c r="B606" s="25"/>
      <c r="D606" s="25"/>
    </row>
    <row r="607">
      <c r="B607" s="25"/>
      <c r="D607" s="25"/>
    </row>
    <row r="608">
      <c r="B608" s="25"/>
      <c r="D608" s="25"/>
    </row>
    <row r="609">
      <c r="B609" s="25"/>
      <c r="D609" s="25"/>
    </row>
    <row r="610">
      <c r="B610" s="25"/>
      <c r="D610" s="25"/>
    </row>
    <row r="611">
      <c r="B611" s="25"/>
      <c r="D611" s="25"/>
    </row>
    <row r="612">
      <c r="B612" s="25"/>
      <c r="D612" s="25"/>
    </row>
    <row r="613">
      <c r="B613" s="25"/>
      <c r="D613" s="25"/>
    </row>
    <row r="614">
      <c r="B614" s="25"/>
      <c r="D614" s="25"/>
    </row>
    <row r="615">
      <c r="B615" s="25"/>
      <c r="D615" s="25"/>
    </row>
    <row r="616">
      <c r="B616" s="25"/>
      <c r="D616" s="25"/>
    </row>
    <row r="617">
      <c r="B617" s="25"/>
      <c r="D617" s="25"/>
    </row>
    <row r="618">
      <c r="B618" s="25"/>
      <c r="D618" s="25"/>
    </row>
    <row r="619">
      <c r="B619" s="25"/>
      <c r="D619" s="25"/>
    </row>
    <row r="620">
      <c r="B620" s="25"/>
      <c r="D620" s="25"/>
    </row>
    <row r="621">
      <c r="B621" s="25"/>
      <c r="D621" s="25"/>
    </row>
    <row r="622">
      <c r="B622" s="25"/>
      <c r="D622" s="25"/>
    </row>
    <row r="623">
      <c r="B623" s="25"/>
      <c r="D623" s="25"/>
    </row>
    <row r="624">
      <c r="B624" s="25"/>
      <c r="D624" s="25"/>
    </row>
    <row r="625">
      <c r="B625" s="25"/>
      <c r="D625" s="25"/>
    </row>
    <row r="626">
      <c r="B626" s="25"/>
      <c r="D626" s="25"/>
    </row>
    <row r="627">
      <c r="B627" s="25"/>
      <c r="D627" s="25"/>
    </row>
    <row r="628">
      <c r="B628" s="25"/>
      <c r="D628" s="25"/>
    </row>
    <row r="629">
      <c r="B629" s="25"/>
      <c r="D629" s="25"/>
    </row>
    <row r="630">
      <c r="B630" s="25"/>
      <c r="D630" s="25"/>
    </row>
    <row r="631">
      <c r="B631" s="25"/>
      <c r="D631" s="25"/>
    </row>
    <row r="632">
      <c r="B632" s="25"/>
      <c r="D632" s="25"/>
    </row>
    <row r="633">
      <c r="B633" s="25"/>
      <c r="D633" s="25"/>
    </row>
    <row r="634">
      <c r="B634" s="25"/>
      <c r="D634" s="25"/>
    </row>
    <row r="635">
      <c r="B635" s="25"/>
      <c r="D635" s="25"/>
    </row>
    <row r="636">
      <c r="B636" s="25"/>
      <c r="D636" s="25"/>
    </row>
    <row r="637">
      <c r="B637" s="25"/>
      <c r="D637" s="25"/>
    </row>
    <row r="638">
      <c r="B638" s="25"/>
      <c r="D638" s="25"/>
    </row>
    <row r="639">
      <c r="B639" s="25"/>
      <c r="D639" s="25"/>
    </row>
    <row r="640">
      <c r="B640" s="25"/>
      <c r="D640" s="25"/>
    </row>
    <row r="641">
      <c r="B641" s="25"/>
      <c r="D641" s="25"/>
    </row>
    <row r="642">
      <c r="B642" s="25"/>
      <c r="D642" s="25"/>
    </row>
    <row r="643">
      <c r="B643" s="25"/>
      <c r="D643" s="25"/>
    </row>
    <row r="644">
      <c r="B644" s="25"/>
      <c r="D644" s="25"/>
    </row>
    <row r="645">
      <c r="B645" s="25"/>
      <c r="D645" s="25"/>
    </row>
    <row r="646">
      <c r="B646" s="25"/>
      <c r="D646" s="25"/>
    </row>
    <row r="647">
      <c r="B647" s="25"/>
      <c r="D647" s="25"/>
    </row>
    <row r="648">
      <c r="B648" s="25"/>
      <c r="D648" s="25"/>
    </row>
    <row r="649">
      <c r="B649" s="25"/>
      <c r="D649" s="25"/>
    </row>
    <row r="650">
      <c r="B650" s="25"/>
      <c r="D650" s="25"/>
    </row>
    <row r="651">
      <c r="B651" s="25"/>
      <c r="D651" s="25"/>
    </row>
    <row r="652">
      <c r="B652" s="25"/>
      <c r="D652" s="25"/>
    </row>
    <row r="653">
      <c r="B653" s="25"/>
      <c r="D653" s="25"/>
    </row>
    <row r="654">
      <c r="B654" s="25"/>
      <c r="D654" s="25"/>
    </row>
    <row r="655">
      <c r="B655" s="25"/>
      <c r="D655" s="25"/>
    </row>
    <row r="656">
      <c r="B656" s="25"/>
      <c r="D656" s="25"/>
    </row>
    <row r="657">
      <c r="B657" s="25"/>
      <c r="D657" s="25"/>
    </row>
    <row r="658">
      <c r="B658" s="25"/>
      <c r="D658" s="25"/>
    </row>
    <row r="659">
      <c r="B659" s="25"/>
      <c r="D659" s="25"/>
    </row>
    <row r="660">
      <c r="B660" s="25"/>
      <c r="D660" s="25"/>
    </row>
    <row r="661">
      <c r="B661" s="25"/>
      <c r="D661" s="25"/>
    </row>
    <row r="662">
      <c r="B662" s="25"/>
      <c r="D662" s="25"/>
    </row>
    <row r="663">
      <c r="B663" s="25"/>
      <c r="D663" s="25"/>
    </row>
    <row r="664">
      <c r="B664" s="25"/>
      <c r="D664" s="25"/>
    </row>
    <row r="665">
      <c r="B665" s="25"/>
      <c r="D665" s="25"/>
    </row>
    <row r="666">
      <c r="B666" s="25"/>
      <c r="D666" s="25"/>
    </row>
    <row r="667">
      <c r="B667" s="25"/>
      <c r="D667" s="25"/>
    </row>
    <row r="668">
      <c r="B668" s="25"/>
      <c r="D668" s="25"/>
    </row>
    <row r="669">
      <c r="B669" s="25"/>
      <c r="D669" s="25"/>
    </row>
    <row r="670">
      <c r="B670" s="25"/>
      <c r="D670" s="25"/>
    </row>
    <row r="671">
      <c r="B671" s="25"/>
      <c r="D671" s="25"/>
    </row>
    <row r="672">
      <c r="B672" s="25"/>
      <c r="D672" s="25"/>
    </row>
    <row r="673">
      <c r="B673" s="25"/>
      <c r="D673" s="25"/>
    </row>
    <row r="674">
      <c r="B674" s="25"/>
      <c r="D674" s="25"/>
    </row>
    <row r="675">
      <c r="B675" s="25"/>
      <c r="D675" s="25"/>
    </row>
    <row r="676">
      <c r="B676" s="25"/>
      <c r="D676" s="25"/>
    </row>
    <row r="677">
      <c r="B677" s="25"/>
      <c r="D677" s="25"/>
    </row>
    <row r="678">
      <c r="B678" s="25"/>
      <c r="D678" s="25"/>
    </row>
    <row r="679">
      <c r="B679" s="25"/>
      <c r="D679" s="25"/>
    </row>
    <row r="680">
      <c r="B680" s="25"/>
      <c r="D680" s="25"/>
    </row>
    <row r="681">
      <c r="B681" s="25"/>
      <c r="D681" s="25"/>
    </row>
    <row r="682">
      <c r="B682" s="25"/>
      <c r="D682" s="25"/>
    </row>
    <row r="683">
      <c r="B683" s="25"/>
      <c r="D683" s="25"/>
    </row>
    <row r="684">
      <c r="B684" s="25"/>
      <c r="D684" s="25"/>
    </row>
    <row r="685">
      <c r="B685" s="25"/>
      <c r="D685" s="25"/>
    </row>
    <row r="686">
      <c r="B686" s="25"/>
      <c r="D686" s="25"/>
    </row>
    <row r="687">
      <c r="B687" s="25"/>
      <c r="D687" s="25"/>
    </row>
    <row r="688">
      <c r="B688" s="25"/>
      <c r="D688" s="25"/>
    </row>
    <row r="689">
      <c r="B689" s="25"/>
      <c r="D689" s="25"/>
    </row>
    <row r="690">
      <c r="B690" s="25"/>
      <c r="D690" s="25"/>
    </row>
    <row r="691">
      <c r="B691" s="25"/>
      <c r="D691" s="25"/>
    </row>
    <row r="692">
      <c r="B692" s="25"/>
      <c r="D692" s="25"/>
    </row>
    <row r="693">
      <c r="B693" s="25"/>
      <c r="D693" s="25"/>
    </row>
    <row r="694">
      <c r="B694" s="25"/>
      <c r="D694" s="25"/>
    </row>
    <row r="695">
      <c r="B695" s="25"/>
      <c r="D695" s="25"/>
    </row>
    <row r="696">
      <c r="B696" s="25"/>
      <c r="D696" s="25"/>
    </row>
    <row r="697">
      <c r="B697" s="25"/>
      <c r="D697" s="25"/>
    </row>
    <row r="698">
      <c r="B698" s="25"/>
      <c r="D698" s="25"/>
    </row>
    <row r="699">
      <c r="B699" s="25"/>
      <c r="D699" s="25"/>
    </row>
    <row r="700">
      <c r="B700" s="25"/>
      <c r="D700" s="25"/>
    </row>
    <row r="701">
      <c r="B701" s="25"/>
      <c r="D701" s="25"/>
    </row>
    <row r="702">
      <c r="B702" s="25"/>
      <c r="D702" s="25"/>
    </row>
    <row r="703">
      <c r="B703" s="25"/>
      <c r="D703" s="25"/>
    </row>
    <row r="704">
      <c r="B704" s="25"/>
      <c r="D704" s="25"/>
    </row>
    <row r="705">
      <c r="B705" s="25"/>
      <c r="D705" s="25"/>
    </row>
    <row r="706">
      <c r="B706" s="25"/>
      <c r="D706" s="25"/>
    </row>
    <row r="707">
      <c r="B707" s="25"/>
      <c r="D707" s="25"/>
    </row>
    <row r="708">
      <c r="B708" s="25"/>
      <c r="D708" s="25"/>
    </row>
    <row r="709">
      <c r="B709" s="25"/>
      <c r="D709" s="25"/>
    </row>
    <row r="710">
      <c r="B710" s="25"/>
      <c r="D710" s="25"/>
    </row>
    <row r="711">
      <c r="B711" s="25"/>
      <c r="D711" s="25"/>
    </row>
    <row r="712">
      <c r="B712" s="25"/>
      <c r="D712" s="25"/>
    </row>
    <row r="713">
      <c r="B713" s="25"/>
      <c r="D713" s="25"/>
    </row>
    <row r="714">
      <c r="B714" s="25"/>
      <c r="D714" s="25"/>
    </row>
    <row r="715">
      <c r="B715" s="25"/>
      <c r="D715" s="25"/>
    </row>
    <row r="716">
      <c r="B716" s="25"/>
      <c r="D716" s="25"/>
    </row>
    <row r="717">
      <c r="B717" s="25"/>
      <c r="D717" s="25"/>
    </row>
    <row r="718">
      <c r="B718" s="25"/>
      <c r="D718" s="25"/>
    </row>
    <row r="719">
      <c r="B719" s="25"/>
      <c r="D719" s="25"/>
    </row>
    <row r="720">
      <c r="B720" s="25"/>
      <c r="D720" s="25"/>
    </row>
    <row r="721">
      <c r="B721" s="25"/>
      <c r="D721" s="25"/>
    </row>
    <row r="722">
      <c r="B722" s="25"/>
      <c r="D722" s="25"/>
    </row>
    <row r="723">
      <c r="B723" s="25"/>
      <c r="D723" s="25"/>
    </row>
    <row r="724">
      <c r="B724" s="25"/>
      <c r="D724" s="25"/>
    </row>
    <row r="725">
      <c r="B725" s="25"/>
      <c r="D725" s="25"/>
    </row>
    <row r="726">
      <c r="B726" s="25"/>
      <c r="D726" s="25"/>
    </row>
    <row r="727">
      <c r="B727" s="25"/>
      <c r="D727" s="25"/>
    </row>
    <row r="728">
      <c r="B728" s="25"/>
      <c r="D728" s="25"/>
    </row>
    <row r="729">
      <c r="B729" s="25"/>
      <c r="D729" s="25"/>
    </row>
    <row r="730">
      <c r="B730" s="25"/>
      <c r="D730" s="25"/>
    </row>
    <row r="731">
      <c r="B731" s="25"/>
      <c r="D731" s="25"/>
    </row>
    <row r="732">
      <c r="B732" s="25"/>
      <c r="D732" s="25"/>
    </row>
    <row r="733">
      <c r="B733" s="25"/>
      <c r="D733" s="25"/>
    </row>
    <row r="734">
      <c r="B734" s="25"/>
      <c r="D734" s="25"/>
    </row>
    <row r="735">
      <c r="B735" s="25"/>
      <c r="D735" s="25"/>
    </row>
    <row r="736">
      <c r="B736" s="25"/>
      <c r="D736" s="25"/>
    </row>
    <row r="737">
      <c r="B737" s="25"/>
      <c r="D737" s="25"/>
    </row>
    <row r="738">
      <c r="B738" s="25"/>
      <c r="D738" s="25"/>
    </row>
    <row r="739">
      <c r="B739" s="25"/>
      <c r="D739" s="25"/>
    </row>
    <row r="740">
      <c r="B740" s="25"/>
      <c r="D740" s="25"/>
    </row>
    <row r="741">
      <c r="B741" s="25"/>
      <c r="D741" s="25"/>
    </row>
    <row r="742">
      <c r="B742" s="25"/>
      <c r="D742" s="25"/>
    </row>
    <row r="743">
      <c r="B743" s="25"/>
      <c r="D743" s="25"/>
    </row>
    <row r="744">
      <c r="B744" s="25"/>
      <c r="D744" s="25"/>
    </row>
    <row r="745">
      <c r="B745" s="25"/>
      <c r="D745" s="25"/>
    </row>
    <row r="746">
      <c r="B746" s="25"/>
      <c r="D746" s="25"/>
    </row>
    <row r="747">
      <c r="B747" s="25"/>
      <c r="D747" s="25"/>
    </row>
    <row r="748">
      <c r="B748" s="25"/>
      <c r="D748" s="25"/>
    </row>
    <row r="749">
      <c r="B749" s="25"/>
      <c r="D749" s="25"/>
    </row>
    <row r="750">
      <c r="B750" s="25"/>
      <c r="D750" s="25"/>
    </row>
    <row r="751">
      <c r="B751" s="25"/>
      <c r="D751" s="25"/>
    </row>
    <row r="752">
      <c r="B752" s="25"/>
      <c r="D752" s="25"/>
    </row>
    <row r="753">
      <c r="B753" s="25"/>
      <c r="D753" s="25"/>
    </row>
    <row r="754">
      <c r="B754" s="25"/>
      <c r="D754" s="25"/>
    </row>
    <row r="755">
      <c r="B755" s="25"/>
      <c r="D755" s="25"/>
    </row>
    <row r="756">
      <c r="B756" s="25"/>
      <c r="D756" s="25"/>
    </row>
    <row r="757">
      <c r="B757" s="25"/>
      <c r="D757" s="25"/>
    </row>
    <row r="758">
      <c r="B758" s="25"/>
      <c r="D758" s="25"/>
    </row>
    <row r="759">
      <c r="B759" s="25"/>
      <c r="D759" s="25"/>
    </row>
    <row r="760">
      <c r="B760" s="25"/>
      <c r="D760" s="25"/>
    </row>
    <row r="761">
      <c r="B761" s="25"/>
      <c r="D761" s="25"/>
    </row>
    <row r="762">
      <c r="B762" s="25"/>
      <c r="D762" s="25"/>
    </row>
    <row r="763">
      <c r="B763" s="25"/>
      <c r="D763" s="25"/>
    </row>
    <row r="764">
      <c r="B764" s="25"/>
      <c r="D764" s="25"/>
    </row>
    <row r="765">
      <c r="B765" s="25"/>
      <c r="D765" s="25"/>
    </row>
    <row r="766">
      <c r="B766" s="25"/>
      <c r="D766" s="25"/>
    </row>
    <row r="767">
      <c r="B767" s="25"/>
      <c r="D767" s="25"/>
    </row>
    <row r="768">
      <c r="B768" s="25"/>
      <c r="D768" s="25"/>
    </row>
    <row r="769">
      <c r="B769" s="25"/>
      <c r="D769" s="25"/>
    </row>
    <row r="770">
      <c r="B770" s="25"/>
      <c r="D770" s="25"/>
    </row>
    <row r="771">
      <c r="B771" s="25"/>
      <c r="D771" s="25"/>
    </row>
    <row r="772">
      <c r="B772" s="25"/>
      <c r="D772" s="25"/>
    </row>
    <row r="773">
      <c r="B773" s="25"/>
      <c r="D773" s="25"/>
    </row>
    <row r="774">
      <c r="B774" s="25"/>
      <c r="D774" s="25"/>
    </row>
    <row r="775">
      <c r="B775" s="25"/>
      <c r="D775" s="25"/>
    </row>
    <row r="776">
      <c r="B776" s="25"/>
      <c r="D776" s="25"/>
    </row>
    <row r="777">
      <c r="B777" s="25"/>
      <c r="D777" s="25"/>
    </row>
    <row r="778">
      <c r="B778" s="25"/>
      <c r="D778" s="25"/>
    </row>
    <row r="779">
      <c r="B779" s="25"/>
      <c r="D779" s="25"/>
    </row>
    <row r="780">
      <c r="B780" s="25"/>
      <c r="D780" s="25"/>
    </row>
    <row r="781">
      <c r="B781" s="25"/>
      <c r="D781" s="25"/>
    </row>
    <row r="782">
      <c r="B782" s="25"/>
      <c r="D782" s="25"/>
    </row>
    <row r="783">
      <c r="B783" s="25"/>
      <c r="D783" s="25"/>
    </row>
    <row r="784">
      <c r="B784" s="25"/>
      <c r="D784" s="25"/>
    </row>
    <row r="785">
      <c r="B785" s="25"/>
      <c r="D785" s="25"/>
    </row>
    <row r="786">
      <c r="B786" s="25"/>
      <c r="D786" s="25"/>
    </row>
    <row r="787">
      <c r="B787" s="25"/>
      <c r="D787" s="25"/>
    </row>
    <row r="788">
      <c r="B788" s="25"/>
      <c r="D788" s="25"/>
    </row>
    <row r="789">
      <c r="B789" s="25"/>
      <c r="D789" s="25"/>
    </row>
    <row r="790">
      <c r="B790" s="25"/>
      <c r="D790" s="25"/>
    </row>
    <row r="791">
      <c r="B791" s="25"/>
      <c r="D791" s="25"/>
    </row>
    <row r="792">
      <c r="B792" s="25"/>
      <c r="D792" s="25"/>
    </row>
    <row r="793">
      <c r="B793" s="25"/>
      <c r="D793" s="25"/>
    </row>
    <row r="794">
      <c r="B794" s="25"/>
      <c r="D794" s="25"/>
    </row>
    <row r="795">
      <c r="B795" s="25"/>
      <c r="D795" s="25"/>
    </row>
    <row r="796">
      <c r="B796" s="25"/>
      <c r="D796" s="25"/>
    </row>
    <row r="797">
      <c r="B797" s="25"/>
      <c r="D797" s="25"/>
    </row>
    <row r="798">
      <c r="B798" s="25"/>
      <c r="D798" s="25"/>
    </row>
    <row r="799">
      <c r="B799" s="25"/>
      <c r="D799" s="25"/>
    </row>
    <row r="800">
      <c r="B800" s="25"/>
      <c r="D800" s="25"/>
    </row>
    <row r="801">
      <c r="B801" s="25"/>
      <c r="D801" s="25"/>
    </row>
    <row r="802">
      <c r="B802" s="25"/>
      <c r="D802" s="25"/>
    </row>
    <row r="803">
      <c r="B803" s="25"/>
      <c r="D803" s="25"/>
    </row>
    <row r="804">
      <c r="B804" s="25"/>
      <c r="D804" s="25"/>
    </row>
    <row r="805">
      <c r="B805" s="25"/>
      <c r="D805" s="25"/>
    </row>
    <row r="806">
      <c r="B806" s="25"/>
      <c r="D806" s="25"/>
    </row>
    <row r="807">
      <c r="B807" s="25"/>
      <c r="D807" s="25"/>
    </row>
    <row r="808">
      <c r="B808" s="25"/>
      <c r="D808" s="25"/>
    </row>
    <row r="809">
      <c r="B809" s="25"/>
      <c r="D809" s="25"/>
    </row>
    <row r="810">
      <c r="B810" s="25"/>
      <c r="D810" s="25"/>
    </row>
    <row r="811">
      <c r="B811" s="25"/>
      <c r="D811" s="25"/>
    </row>
    <row r="812">
      <c r="B812" s="25"/>
      <c r="D812" s="25"/>
    </row>
    <row r="813">
      <c r="B813" s="25"/>
      <c r="D813" s="25"/>
    </row>
    <row r="814">
      <c r="B814" s="25"/>
      <c r="D814" s="25"/>
    </row>
    <row r="815">
      <c r="B815" s="25"/>
      <c r="D815" s="25"/>
    </row>
    <row r="816">
      <c r="B816" s="25"/>
      <c r="D816" s="25"/>
    </row>
    <row r="817">
      <c r="B817" s="25"/>
      <c r="D817" s="25"/>
    </row>
    <row r="818">
      <c r="B818" s="25"/>
      <c r="D818" s="25"/>
    </row>
    <row r="819">
      <c r="B819" s="25"/>
      <c r="D819" s="25"/>
    </row>
    <row r="820">
      <c r="B820" s="25"/>
      <c r="D820" s="25"/>
    </row>
    <row r="821">
      <c r="B821" s="25"/>
      <c r="D821" s="25"/>
    </row>
    <row r="822">
      <c r="B822" s="25"/>
      <c r="D822" s="25"/>
    </row>
    <row r="823">
      <c r="B823" s="25"/>
      <c r="D823" s="25"/>
    </row>
    <row r="824">
      <c r="B824" s="25"/>
      <c r="D824" s="25"/>
    </row>
    <row r="825">
      <c r="B825" s="25"/>
      <c r="D825" s="25"/>
    </row>
    <row r="826">
      <c r="B826" s="25"/>
      <c r="D826" s="25"/>
    </row>
    <row r="827">
      <c r="B827" s="25"/>
      <c r="D827" s="25"/>
    </row>
    <row r="828">
      <c r="B828" s="25"/>
      <c r="D828" s="25"/>
    </row>
    <row r="829">
      <c r="B829" s="25"/>
      <c r="D829" s="25"/>
    </row>
    <row r="830">
      <c r="B830" s="25"/>
      <c r="D830" s="25"/>
    </row>
    <row r="831">
      <c r="B831" s="25"/>
      <c r="D831" s="25"/>
    </row>
    <row r="832">
      <c r="B832" s="25"/>
      <c r="D832" s="25"/>
    </row>
    <row r="833">
      <c r="B833" s="25"/>
      <c r="D833" s="25"/>
    </row>
    <row r="834">
      <c r="B834" s="25"/>
      <c r="D834" s="25"/>
    </row>
    <row r="835">
      <c r="B835" s="25"/>
      <c r="D835" s="25"/>
    </row>
    <row r="836">
      <c r="B836" s="25"/>
      <c r="D836" s="25"/>
    </row>
    <row r="837">
      <c r="B837" s="25"/>
      <c r="D837" s="25"/>
    </row>
    <row r="838">
      <c r="B838" s="25"/>
      <c r="D838" s="25"/>
    </row>
    <row r="839">
      <c r="B839" s="25"/>
      <c r="D839" s="25"/>
    </row>
    <row r="840">
      <c r="B840" s="25"/>
      <c r="D840" s="25"/>
    </row>
    <row r="841">
      <c r="B841" s="25"/>
      <c r="D841" s="25"/>
    </row>
    <row r="842">
      <c r="B842" s="25"/>
      <c r="D842" s="25"/>
    </row>
    <row r="843">
      <c r="B843" s="25"/>
      <c r="D843" s="25"/>
    </row>
    <row r="844">
      <c r="B844" s="25"/>
      <c r="D844" s="25"/>
    </row>
    <row r="845">
      <c r="B845" s="25"/>
      <c r="D845" s="25"/>
    </row>
    <row r="846">
      <c r="B846" s="25"/>
      <c r="D846" s="25"/>
    </row>
    <row r="847">
      <c r="B847" s="25"/>
      <c r="D847" s="25"/>
    </row>
    <row r="848">
      <c r="B848" s="25"/>
      <c r="D848" s="25"/>
    </row>
    <row r="849">
      <c r="B849" s="25"/>
      <c r="D849" s="25"/>
    </row>
    <row r="850">
      <c r="B850" s="25"/>
      <c r="D850" s="25"/>
    </row>
    <row r="851">
      <c r="B851" s="25"/>
      <c r="D851" s="25"/>
    </row>
    <row r="852">
      <c r="B852" s="25"/>
      <c r="D852" s="25"/>
    </row>
    <row r="853">
      <c r="B853" s="25"/>
      <c r="D853" s="25"/>
    </row>
    <row r="854">
      <c r="B854" s="25"/>
      <c r="D854" s="25"/>
    </row>
    <row r="855">
      <c r="B855" s="25"/>
      <c r="D855" s="25"/>
    </row>
    <row r="856">
      <c r="B856" s="25"/>
      <c r="D856" s="25"/>
    </row>
    <row r="857">
      <c r="B857" s="25"/>
      <c r="D857" s="25"/>
    </row>
    <row r="858">
      <c r="B858" s="25"/>
      <c r="D858" s="25"/>
    </row>
    <row r="859">
      <c r="B859" s="25"/>
      <c r="D859" s="25"/>
    </row>
    <row r="860">
      <c r="B860" s="25"/>
      <c r="D860" s="25"/>
    </row>
    <row r="861">
      <c r="B861" s="25"/>
      <c r="D861" s="25"/>
    </row>
    <row r="862">
      <c r="B862" s="25"/>
      <c r="D862" s="25"/>
    </row>
    <row r="863">
      <c r="B863" s="25"/>
      <c r="D863" s="25"/>
    </row>
    <row r="864">
      <c r="B864" s="25"/>
      <c r="D864" s="25"/>
    </row>
    <row r="865">
      <c r="B865" s="25"/>
      <c r="D865" s="25"/>
    </row>
    <row r="866">
      <c r="B866" s="25"/>
      <c r="D866" s="25"/>
    </row>
    <row r="867">
      <c r="B867" s="25"/>
      <c r="D867" s="25"/>
    </row>
    <row r="868">
      <c r="B868" s="25"/>
      <c r="D868" s="25"/>
    </row>
    <row r="869">
      <c r="B869" s="25"/>
      <c r="D869" s="25"/>
    </row>
    <row r="870">
      <c r="B870" s="25"/>
      <c r="D870" s="25"/>
    </row>
    <row r="871">
      <c r="B871" s="25"/>
      <c r="D871" s="25"/>
    </row>
    <row r="872">
      <c r="B872" s="25"/>
      <c r="D872" s="25"/>
    </row>
    <row r="873">
      <c r="B873" s="25"/>
      <c r="D873" s="25"/>
    </row>
    <row r="874">
      <c r="B874" s="25"/>
      <c r="D874" s="25"/>
    </row>
    <row r="875">
      <c r="B875" s="25"/>
      <c r="D875" s="25"/>
    </row>
    <row r="876">
      <c r="B876" s="25"/>
      <c r="D876" s="25"/>
    </row>
    <row r="877">
      <c r="B877" s="25"/>
      <c r="D877" s="25"/>
    </row>
    <row r="878">
      <c r="B878" s="25"/>
      <c r="D878" s="25"/>
    </row>
    <row r="879">
      <c r="B879" s="25"/>
      <c r="D879" s="25"/>
    </row>
    <row r="880">
      <c r="B880" s="25"/>
      <c r="D880" s="25"/>
    </row>
    <row r="881">
      <c r="B881" s="25"/>
      <c r="D881" s="25"/>
    </row>
    <row r="882">
      <c r="B882" s="25"/>
      <c r="D882" s="25"/>
    </row>
    <row r="883">
      <c r="B883" s="25"/>
      <c r="D883" s="25"/>
    </row>
    <row r="884">
      <c r="B884" s="25"/>
      <c r="D884" s="25"/>
    </row>
    <row r="885">
      <c r="B885" s="25"/>
      <c r="D885" s="25"/>
    </row>
    <row r="886">
      <c r="B886" s="25"/>
      <c r="D886" s="25"/>
    </row>
    <row r="887">
      <c r="B887" s="25"/>
      <c r="D887" s="25"/>
    </row>
    <row r="888">
      <c r="B888" s="25"/>
      <c r="D888" s="25"/>
    </row>
    <row r="889">
      <c r="B889" s="25"/>
      <c r="D889" s="25"/>
    </row>
    <row r="890">
      <c r="B890" s="25"/>
      <c r="D890" s="25"/>
    </row>
    <row r="891">
      <c r="B891" s="25"/>
      <c r="D891" s="25"/>
    </row>
    <row r="892">
      <c r="B892" s="25"/>
      <c r="D892" s="25"/>
    </row>
    <row r="893">
      <c r="B893" s="25"/>
      <c r="D893" s="25"/>
    </row>
    <row r="894">
      <c r="B894" s="25"/>
      <c r="D894" s="25"/>
    </row>
    <row r="895">
      <c r="B895" s="25"/>
      <c r="D895" s="25"/>
    </row>
    <row r="896">
      <c r="B896" s="25"/>
      <c r="D896" s="25"/>
    </row>
    <row r="897">
      <c r="B897" s="25"/>
      <c r="D897" s="25"/>
    </row>
    <row r="898">
      <c r="B898" s="25"/>
      <c r="D898" s="25"/>
    </row>
    <row r="899">
      <c r="B899" s="25"/>
      <c r="D899" s="25"/>
    </row>
    <row r="900">
      <c r="B900" s="25"/>
      <c r="D900" s="25"/>
    </row>
    <row r="901">
      <c r="B901" s="25"/>
      <c r="D901" s="25"/>
    </row>
    <row r="902">
      <c r="B902" s="25"/>
      <c r="D902" s="25"/>
    </row>
    <row r="903">
      <c r="B903" s="25"/>
      <c r="D903" s="25"/>
    </row>
    <row r="904">
      <c r="B904" s="25"/>
      <c r="D904" s="25"/>
    </row>
    <row r="905">
      <c r="B905" s="25"/>
      <c r="D905" s="25"/>
    </row>
    <row r="906">
      <c r="B906" s="25"/>
      <c r="D906" s="25"/>
    </row>
    <row r="907">
      <c r="B907" s="25"/>
      <c r="D907" s="25"/>
    </row>
    <row r="908">
      <c r="B908" s="25"/>
      <c r="D908" s="25"/>
    </row>
    <row r="909">
      <c r="B909" s="25"/>
      <c r="D909" s="25"/>
    </row>
    <row r="910">
      <c r="B910" s="25"/>
      <c r="D910" s="25"/>
    </row>
    <row r="911">
      <c r="B911" s="25"/>
      <c r="D911" s="25"/>
    </row>
    <row r="912">
      <c r="B912" s="25"/>
      <c r="D912" s="25"/>
    </row>
    <row r="913">
      <c r="B913" s="25"/>
      <c r="D913" s="25"/>
    </row>
    <row r="914">
      <c r="B914" s="25"/>
      <c r="D914" s="25"/>
    </row>
    <row r="915">
      <c r="B915" s="25"/>
      <c r="D915" s="25"/>
    </row>
    <row r="916">
      <c r="B916" s="25"/>
      <c r="D916" s="25"/>
    </row>
    <row r="917">
      <c r="B917" s="25"/>
      <c r="D917" s="25"/>
    </row>
    <row r="918">
      <c r="B918" s="25"/>
      <c r="D918" s="25"/>
    </row>
    <row r="919">
      <c r="B919" s="25"/>
      <c r="D919" s="25"/>
    </row>
    <row r="920">
      <c r="B920" s="25"/>
      <c r="D920" s="25"/>
    </row>
    <row r="921">
      <c r="B921" s="25"/>
      <c r="D921" s="25"/>
    </row>
    <row r="922">
      <c r="B922" s="25"/>
      <c r="D922" s="25"/>
    </row>
    <row r="923">
      <c r="B923" s="25"/>
      <c r="D923" s="25"/>
    </row>
    <row r="924">
      <c r="B924" s="25"/>
      <c r="D924" s="25"/>
    </row>
    <row r="925">
      <c r="B925" s="25"/>
      <c r="D925" s="25"/>
    </row>
    <row r="926">
      <c r="B926" s="25"/>
      <c r="D926" s="25"/>
    </row>
    <row r="927">
      <c r="B927" s="25"/>
      <c r="D927" s="25"/>
    </row>
    <row r="928">
      <c r="B928" s="25"/>
      <c r="D928" s="25"/>
    </row>
    <row r="929">
      <c r="B929" s="25"/>
      <c r="D929" s="25"/>
    </row>
    <row r="930">
      <c r="B930" s="25"/>
      <c r="D930" s="25"/>
    </row>
    <row r="931">
      <c r="B931" s="25"/>
      <c r="D931" s="25"/>
    </row>
    <row r="932">
      <c r="B932" s="25"/>
      <c r="D932" s="25"/>
    </row>
    <row r="933">
      <c r="B933" s="25"/>
      <c r="D933" s="25"/>
    </row>
    <row r="934">
      <c r="B934" s="25"/>
      <c r="D934" s="25"/>
    </row>
    <row r="935">
      <c r="B935" s="25"/>
      <c r="D935" s="25"/>
    </row>
    <row r="936">
      <c r="B936" s="25"/>
      <c r="D936" s="25"/>
    </row>
    <row r="937">
      <c r="B937" s="25"/>
      <c r="D937" s="25"/>
    </row>
    <row r="938">
      <c r="B938" s="25"/>
      <c r="D938" s="25"/>
    </row>
    <row r="939">
      <c r="B939" s="25"/>
      <c r="D939" s="25"/>
    </row>
    <row r="940">
      <c r="B940" s="25"/>
      <c r="D940" s="25"/>
    </row>
    <row r="941">
      <c r="B941" s="25"/>
      <c r="D941" s="25"/>
    </row>
    <row r="942">
      <c r="B942" s="25"/>
      <c r="D942" s="25"/>
    </row>
    <row r="943">
      <c r="B943" s="25"/>
      <c r="D943" s="25"/>
    </row>
    <row r="944">
      <c r="B944" s="25"/>
      <c r="D944" s="25"/>
    </row>
    <row r="945">
      <c r="B945" s="25"/>
      <c r="D945" s="25"/>
    </row>
    <row r="946">
      <c r="B946" s="25"/>
      <c r="D946" s="25"/>
    </row>
    <row r="947">
      <c r="B947" s="25"/>
      <c r="D947" s="25"/>
    </row>
    <row r="948">
      <c r="B948" s="25"/>
      <c r="D948" s="25"/>
    </row>
    <row r="949">
      <c r="B949" s="25"/>
      <c r="D949" s="25"/>
    </row>
    <row r="950">
      <c r="B950" s="25"/>
      <c r="D950" s="25"/>
    </row>
    <row r="951">
      <c r="B951" s="25"/>
      <c r="D951" s="25"/>
    </row>
    <row r="952">
      <c r="B952" s="25"/>
      <c r="D952" s="25"/>
    </row>
    <row r="953">
      <c r="B953" s="25"/>
      <c r="D953" s="25"/>
    </row>
    <row r="954">
      <c r="B954" s="25"/>
      <c r="D954" s="25"/>
    </row>
    <row r="955">
      <c r="B955" s="25"/>
      <c r="D955" s="25"/>
    </row>
    <row r="956">
      <c r="B956" s="25"/>
      <c r="D956" s="25"/>
    </row>
    <row r="957">
      <c r="B957" s="25"/>
      <c r="D957" s="25"/>
    </row>
    <row r="958">
      <c r="B958" s="25"/>
      <c r="D958" s="25"/>
    </row>
    <row r="959">
      <c r="B959" s="25"/>
      <c r="D959" s="25"/>
    </row>
    <row r="960">
      <c r="B960" s="25"/>
      <c r="D960" s="25"/>
    </row>
    <row r="961">
      <c r="B961" s="25"/>
      <c r="D961" s="25"/>
    </row>
    <row r="962">
      <c r="B962" s="25"/>
      <c r="D962" s="25"/>
    </row>
    <row r="963">
      <c r="B963" s="25"/>
      <c r="D963" s="25"/>
    </row>
    <row r="964">
      <c r="B964" s="25"/>
      <c r="D964" s="25"/>
    </row>
    <row r="965">
      <c r="B965" s="25"/>
      <c r="D965" s="25"/>
    </row>
    <row r="966">
      <c r="B966" s="25"/>
      <c r="D966" s="25"/>
    </row>
    <row r="967">
      <c r="B967" s="25"/>
      <c r="D967" s="25"/>
    </row>
    <row r="968">
      <c r="B968" s="25"/>
      <c r="D968" s="25"/>
    </row>
    <row r="969">
      <c r="B969" s="25"/>
      <c r="D969" s="25"/>
    </row>
    <row r="970">
      <c r="B970" s="25"/>
      <c r="D970" s="25"/>
    </row>
    <row r="971">
      <c r="B971" s="25"/>
      <c r="D971" s="25"/>
    </row>
    <row r="972">
      <c r="B972" s="25"/>
      <c r="D972" s="25"/>
    </row>
    <row r="973">
      <c r="B973" s="25"/>
      <c r="D973" s="25"/>
    </row>
    <row r="974">
      <c r="B974" s="25"/>
      <c r="D974" s="25"/>
    </row>
    <row r="975">
      <c r="B975" s="25"/>
      <c r="D975" s="25"/>
    </row>
    <row r="976">
      <c r="B976" s="25"/>
      <c r="D976" s="25"/>
    </row>
    <row r="977">
      <c r="B977" s="25"/>
      <c r="D977" s="25"/>
    </row>
    <row r="978">
      <c r="B978" s="25"/>
      <c r="D978" s="25"/>
    </row>
    <row r="979">
      <c r="B979" s="25"/>
      <c r="D979" s="25"/>
    </row>
    <row r="980">
      <c r="B980" s="25"/>
      <c r="D980" s="25"/>
    </row>
    <row r="981">
      <c r="B981" s="25"/>
      <c r="D981" s="25"/>
    </row>
    <row r="982">
      <c r="B982" s="25"/>
      <c r="D982" s="25"/>
    </row>
    <row r="983">
      <c r="B983" s="25"/>
      <c r="D983" s="25"/>
    </row>
    <row r="984">
      <c r="B984" s="25"/>
      <c r="D984" s="25"/>
    </row>
    <row r="985">
      <c r="B985" s="25"/>
      <c r="D985" s="25"/>
    </row>
    <row r="986">
      <c r="B986" s="25"/>
      <c r="D986" s="25"/>
    </row>
    <row r="987">
      <c r="B987" s="25"/>
      <c r="D987" s="25"/>
    </row>
    <row r="988">
      <c r="B988" s="25"/>
      <c r="D988" s="25"/>
    </row>
    <row r="989">
      <c r="B989" s="25"/>
      <c r="D989" s="25"/>
    </row>
    <row r="990">
      <c r="B990" s="25"/>
      <c r="D990" s="25"/>
    </row>
    <row r="991">
      <c r="B991" s="25"/>
      <c r="D991" s="25"/>
    </row>
    <row r="992">
      <c r="B992" s="25"/>
      <c r="D992" s="25"/>
    </row>
    <row r="993">
      <c r="B993" s="25"/>
      <c r="D993" s="25"/>
    </row>
    <row r="994">
      <c r="B994" s="25"/>
      <c r="D994" s="25"/>
    </row>
    <row r="995">
      <c r="B995" s="25"/>
      <c r="D995" s="25"/>
    </row>
    <row r="996">
      <c r="B996" s="25"/>
      <c r="D996" s="25"/>
    </row>
    <row r="997">
      <c r="D997" s="25"/>
    </row>
    <row r="998">
      <c r="D998" s="25"/>
    </row>
    <row r="999">
      <c r="D999" s="25"/>
    </row>
    <row r="1000">
      <c r="D1000" s="25"/>
    </row>
    <row r="1001">
      <c r="D1001" s="2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2.25"/>
    <col customWidth="1" min="4" max="4" width="16.38"/>
  </cols>
  <sheetData>
    <row r="1">
      <c r="B1" s="2" t="s">
        <v>0</v>
      </c>
      <c r="C1" s="2" t="s">
        <v>2</v>
      </c>
      <c r="D1" s="4"/>
      <c r="E1" s="2"/>
      <c r="F1" s="2" t="s">
        <v>4</v>
      </c>
    </row>
    <row r="2">
      <c r="A2" s="9">
        <v>1.0</v>
      </c>
      <c r="B2" s="16" t="s">
        <v>11</v>
      </c>
      <c r="C2" s="16" t="s">
        <v>18</v>
      </c>
      <c r="D2" s="20" t="s">
        <v>20</v>
      </c>
      <c r="E2" s="4" t="str">
        <f t="shared" ref="E2:E268" si="1">LEFT(D2)</f>
        <v>B</v>
      </c>
      <c r="F2" s="4" t="str">
        <f t="shared" ref="F2:F268" si="2">IF(E2="A","A 牛腩飯",if(E2="B","B 肉餅飯",if(E2="C","C 雞脾飯",if(E2="D","D 素飯",if(E2="R","午餐一份","")))))</f>
        <v>B 肉餅飯</v>
      </c>
    </row>
    <row r="3">
      <c r="A3" s="9">
        <v>2.0</v>
      </c>
      <c r="B3" s="16" t="s">
        <v>11</v>
      </c>
      <c r="C3" s="20" t="s">
        <v>35</v>
      </c>
      <c r="D3" s="20" t="s">
        <v>37</v>
      </c>
      <c r="E3" s="4" t="str">
        <f t="shared" si="1"/>
        <v>A</v>
      </c>
      <c r="F3" s="4" t="str">
        <f t="shared" si="2"/>
        <v>A 牛腩飯</v>
      </c>
    </row>
    <row r="4">
      <c r="A4" s="9">
        <v>3.0</v>
      </c>
      <c r="B4" s="16" t="s">
        <v>11</v>
      </c>
      <c r="C4" s="16" t="s">
        <v>39</v>
      </c>
      <c r="D4" s="20" t="s">
        <v>40</v>
      </c>
      <c r="E4" s="4" t="str">
        <f t="shared" si="1"/>
        <v>C</v>
      </c>
      <c r="F4" s="4" t="str">
        <f t="shared" si="2"/>
        <v>C 雞脾飯</v>
      </c>
    </row>
    <row r="5">
      <c r="A5" s="9">
        <v>4.0</v>
      </c>
      <c r="B5" s="16" t="s">
        <v>11</v>
      </c>
      <c r="C5" s="34" t="s">
        <v>41</v>
      </c>
      <c r="D5" s="20" t="s">
        <v>20</v>
      </c>
      <c r="E5" s="4" t="str">
        <f t="shared" si="1"/>
        <v>B</v>
      </c>
      <c r="F5" s="4" t="str">
        <f t="shared" si="2"/>
        <v>B 肉餅飯</v>
      </c>
    </row>
    <row r="6">
      <c r="A6" s="9">
        <v>5.0</v>
      </c>
      <c r="B6" s="16" t="s">
        <v>11</v>
      </c>
      <c r="C6" s="34" t="s">
        <v>64</v>
      </c>
      <c r="D6" s="20" t="s">
        <v>37</v>
      </c>
      <c r="E6" s="4" t="str">
        <f t="shared" si="1"/>
        <v>A</v>
      </c>
      <c r="F6" s="4" t="str">
        <f t="shared" si="2"/>
        <v>A 牛腩飯</v>
      </c>
    </row>
    <row r="7">
      <c r="A7" s="9">
        <v>6.0</v>
      </c>
      <c r="B7" s="16" t="s">
        <v>11</v>
      </c>
      <c r="C7" s="34" t="s">
        <v>68</v>
      </c>
      <c r="D7" s="20" t="s">
        <v>40</v>
      </c>
      <c r="E7" s="4" t="str">
        <f t="shared" si="1"/>
        <v>C</v>
      </c>
      <c r="F7" s="4" t="str">
        <f t="shared" si="2"/>
        <v>C 雞脾飯</v>
      </c>
    </row>
    <row r="8">
      <c r="A8" s="9">
        <v>7.0</v>
      </c>
      <c r="B8" s="32" t="s">
        <v>24</v>
      </c>
      <c r="C8" s="40" t="s">
        <v>78</v>
      </c>
      <c r="D8" s="20" t="s">
        <v>37</v>
      </c>
      <c r="E8" s="4" t="str">
        <f t="shared" si="1"/>
        <v>A</v>
      </c>
      <c r="F8" s="4" t="str">
        <f t="shared" si="2"/>
        <v>A 牛腩飯</v>
      </c>
    </row>
    <row r="9">
      <c r="A9" s="9">
        <v>8.0</v>
      </c>
      <c r="B9" s="32" t="s">
        <v>24</v>
      </c>
      <c r="C9" s="40" t="s">
        <v>82</v>
      </c>
      <c r="D9" s="20" t="s">
        <v>37</v>
      </c>
      <c r="E9" s="4" t="str">
        <f t="shared" si="1"/>
        <v>A</v>
      </c>
      <c r="F9" s="4" t="str">
        <f t="shared" si="2"/>
        <v>A 牛腩飯</v>
      </c>
    </row>
    <row r="10">
      <c r="A10" s="9">
        <v>9.0</v>
      </c>
      <c r="B10" s="32" t="s">
        <v>24</v>
      </c>
      <c r="C10" s="45" t="s">
        <v>86</v>
      </c>
      <c r="D10" s="20" t="s">
        <v>92</v>
      </c>
      <c r="E10" s="4" t="str">
        <f t="shared" si="1"/>
        <v>D</v>
      </c>
      <c r="F10" s="4" t="str">
        <f t="shared" si="2"/>
        <v>D 素飯</v>
      </c>
    </row>
    <row r="11">
      <c r="A11" s="9">
        <v>10.0</v>
      </c>
      <c r="B11" s="32" t="s">
        <v>24</v>
      </c>
      <c r="C11" s="45" t="s">
        <v>95</v>
      </c>
      <c r="D11" s="20" t="s">
        <v>37</v>
      </c>
      <c r="E11" s="4" t="str">
        <f t="shared" si="1"/>
        <v>A</v>
      </c>
      <c r="F11" s="4" t="str">
        <f t="shared" si="2"/>
        <v>A 牛腩飯</v>
      </c>
    </row>
    <row r="12">
      <c r="A12" s="9">
        <v>11.0</v>
      </c>
      <c r="B12" s="32" t="s">
        <v>24</v>
      </c>
      <c r="C12" s="45" t="s">
        <v>97</v>
      </c>
      <c r="D12" s="20" t="s">
        <v>40</v>
      </c>
      <c r="E12" s="4" t="str">
        <f t="shared" si="1"/>
        <v>C</v>
      </c>
      <c r="F12" s="4" t="str">
        <f t="shared" si="2"/>
        <v>C 雞脾飯</v>
      </c>
    </row>
    <row r="13">
      <c r="A13" s="9">
        <v>12.0</v>
      </c>
      <c r="B13" s="32" t="s">
        <v>24</v>
      </c>
      <c r="C13" s="45" t="s">
        <v>103</v>
      </c>
      <c r="D13" s="20" t="s">
        <v>20</v>
      </c>
      <c r="E13" s="4" t="str">
        <f t="shared" si="1"/>
        <v>B</v>
      </c>
      <c r="F13" s="4" t="str">
        <f t="shared" si="2"/>
        <v>B 肉餅飯</v>
      </c>
    </row>
    <row r="14">
      <c r="A14" s="9">
        <v>13.0</v>
      </c>
      <c r="B14" s="32" t="s">
        <v>24</v>
      </c>
      <c r="C14" s="45" t="s">
        <v>105</v>
      </c>
      <c r="D14" s="20" t="s">
        <v>20</v>
      </c>
      <c r="E14" s="4" t="str">
        <f t="shared" si="1"/>
        <v>B</v>
      </c>
      <c r="F14" s="4" t="str">
        <f t="shared" si="2"/>
        <v>B 肉餅飯</v>
      </c>
    </row>
    <row r="15">
      <c r="A15" s="9">
        <v>14.0</v>
      </c>
      <c r="B15" s="20" t="s">
        <v>108</v>
      </c>
      <c r="C15" s="16" t="s">
        <v>109</v>
      </c>
      <c r="D15" s="20" t="s">
        <v>79</v>
      </c>
      <c r="E15" s="4" t="str">
        <f t="shared" si="1"/>
        <v>R</v>
      </c>
      <c r="F15" s="4" t="str">
        <f t="shared" si="2"/>
        <v>午餐一份</v>
      </c>
    </row>
    <row r="16">
      <c r="A16" s="9">
        <v>15.0</v>
      </c>
      <c r="B16" s="20" t="s">
        <v>108</v>
      </c>
      <c r="C16" s="16" t="s">
        <v>112</v>
      </c>
      <c r="D16" s="20" t="s">
        <v>79</v>
      </c>
      <c r="E16" s="4" t="str">
        <f t="shared" si="1"/>
        <v>R</v>
      </c>
      <c r="F16" s="4" t="str">
        <f t="shared" si="2"/>
        <v>午餐一份</v>
      </c>
    </row>
    <row r="17">
      <c r="A17" s="9">
        <v>16.0</v>
      </c>
      <c r="B17" s="20" t="s">
        <v>108</v>
      </c>
      <c r="C17" s="16" t="s">
        <v>117</v>
      </c>
      <c r="D17" s="20" t="s">
        <v>79</v>
      </c>
      <c r="E17" s="4" t="str">
        <f t="shared" si="1"/>
        <v>R</v>
      </c>
      <c r="F17" s="4" t="str">
        <f t="shared" si="2"/>
        <v>午餐一份</v>
      </c>
    </row>
    <row r="18">
      <c r="A18" s="9">
        <v>17.0</v>
      </c>
      <c r="B18" s="20" t="s">
        <v>108</v>
      </c>
      <c r="C18" s="16" t="s">
        <v>121</v>
      </c>
      <c r="D18" s="20" t="s">
        <v>79</v>
      </c>
      <c r="E18" s="4" t="str">
        <f t="shared" si="1"/>
        <v>R</v>
      </c>
      <c r="F18" s="4" t="str">
        <f t="shared" si="2"/>
        <v>午餐一份</v>
      </c>
    </row>
    <row r="19">
      <c r="A19" s="9">
        <v>18.0</v>
      </c>
      <c r="B19" s="20" t="s">
        <v>108</v>
      </c>
      <c r="C19" s="16" t="s">
        <v>126</v>
      </c>
      <c r="D19" s="20" t="s">
        <v>79</v>
      </c>
      <c r="E19" s="4" t="str">
        <f t="shared" si="1"/>
        <v>R</v>
      </c>
      <c r="F19" s="4" t="str">
        <f t="shared" si="2"/>
        <v>午餐一份</v>
      </c>
    </row>
    <row r="20">
      <c r="A20" s="9">
        <v>19.0</v>
      </c>
      <c r="B20" s="20" t="s">
        <v>108</v>
      </c>
      <c r="C20" s="16" t="s">
        <v>129</v>
      </c>
      <c r="D20" s="20" t="s">
        <v>79</v>
      </c>
      <c r="E20" s="4" t="str">
        <f t="shared" si="1"/>
        <v>R</v>
      </c>
      <c r="F20" s="4" t="str">
        <f t="shared" si="2"/>
        <v>午餐一份</v>
      </c>
    </row>
    <row r="21">
      <c r="A21" s="9">
        <v>20.0</v>
      </c>
      <c r="B21" s="20" t="s">
        <v>108</v>
      </c>
      <c r="C21" s="16" t="s">
        <v>131</v>
      </c>
      <c r="D21" s="20" t="s">
        <v>79</v>
      </c>
      <c r="E21" s="4" t="str">
        <f t="shared" si="1"/>
        <v>R</v>
      </c>
      <c r="F21" s="4" t="str">
        <f t="shared" si="2"/>
        <v>午餐一份</v>
      </c>
    </row>
    <row r="22">
      <c r="A22" s="9">
        <v>21.0</v>
      </c>
      <c r="B22" s="20" t="s">
        <v>108</v>
      </c>
      <c r="C22" s="16" t="s">
        <v>133</v>
      </c>
      <c r="D22" s="20" t="s">
        <v>79</v>
      </c>
      <c r="E22" s="4" t="str">
        <f t="shared" si="1"/>
        <v>R</v>
      </c>
      <c r="F22" s="4" t="str">
        <f t="shared" si="2"/>
        <v>午餐一份</v>
      </c>
    </row>
    <row r="23">
      <c r="A23" s="9">
        <v>22.0</v>
      </c>
      <c r="B23" s="32" t="s">
        <v>25</v>
      </c>
      <c r="C23" s="32" t="s">
        <v>139</v>
      </c>
      <c r="D23" s="20" t="s">
        <v>37</v>
      </c>
      <c r="E23" s="4" t="str">
        <f t="shared" si="1"/>
        <v>A</v>
      </c>
      <c r="F23" s="4" t="str">
        <f t="shared" si="2"/>
        <v>A 牛腩飯</v>
      </c>
    </row>
    <row r="24">
      <c r="A24" s="9">
        <v>23.0</v>
      </c>
      <c r="B24" s="16" t="s">
        <v>140</v>
      </c>
      <c r="C24" s="16" t="s">
        <v>141</v>
      </c>
      <c r="D24" s="20" t="s">
        <v>20</v>
      </c>
      <c r="E24" s="4" t="str">
        <f t="shared" si="1"/>
        <v>B</v>
      </c>
      <c r="F24" s="4" t="str">
        <f t="shared" si="2"/>
        <v>B 肉餅飯</v>
      </c>
    </row>
    <row r="25">
      <c r="A25" s="9">
        <v>24.0</v>
      </c>
      <c r="B25" s="16" t="s">
        <v>140</v>
      </c>
      <c r="C25" s="60" t="s">
        <v>143</v>
      </c>
      <c r="D25" s="62" t="s">
        <v>79</v>
      </c>
      <c r="E25" s="4" t="str">
        <f t="shared" si="1"/>
        <v>R</v>
      </c>
      <c r="F25" s="4" t="str">
        <f t="shared" si="2"/>
        <v>午餐一份</v>
      </c>
    </row>
    <row r="26">
      <c r="A26" s="9">
        <v>25.0</v>
      </c>
      <c r="B26" s="16" t="s">
        <v>140</v>
      </c>
      <c r="C26" s="60" t="s">
        <v>148</v>
      </c>
      <c r="D26" s="62" t="s">
        <v>20</v>
      </c>
      <c r="E26" s="4" t="str">
        <f t="shared" si="1"/>
        <v>B</v>
      </c>
      <c r="F26" s="4" t="str">
        <f t="shared" si="2"/>
        <v>B 肉餅飯</v>
      </c>
    </row>
    <row r="27">
      <c r="A27" s="9">
        <v>26.0</v>
      </c>
      <c r="B27" s="16" t="s">
        <v>140</v>
      </c>
      <c r="C27" s="60" t="s">
        <v>152</v>
      </c>
      <c r="D27" s="62" t="s">
        <v>37</v>
      </c>
      <c r="E27" s="4" t="str">
        <f t="shared" si="1"/>
        <v>A</v>
      </c>
      <c r="F27" s="4" t="str">
        <f t="shared" si="2"/>
        <v>A 牛腩飯</v>
      </c>
    </row>
    <row r="28">
      <c r="A28" s="9">
        <v>27.0</v>
      </c>
      <c r="B28" s="16" t="s">
        <v>140</v>
      </c>
      <c r="C28" s="60" t="s">
        <v>154</v>
      </c>
      <c r="D28" s="62" t="s">
        <v>79</v>
      </c>
      <c r="E28" s="4" t="str">
        <f t="shared" si="1"/>
        <v>R</v>
      </c>
      <c r="F28" s="4" t="str">
        <f t="shared" si="2"/>
        <v>午餐一份</v>
      </c>
    </row>
    <row r="29">
      <c r="A29" s="9">
        <v>28.0</v>
      </c>
      <c r="B29" s="16" t="s">
        <v>140</v>
      </c>
      <c r="C29" s="60" t="s">
        <v>156</v>
      </c>
      <c r="D29" s="62" t="s">
        <v>79</v>
      </c>
      <c r="E29" s="4" t="str">
        <f t="shared" si="1"/>
        <v>R</v>
      </c>
      <c r="F29" s="4" t="str">
        <f t="shared" si="2"/>
        <v>午餐一份</v>
      </c>
    </row>
    <row r="30">
      <c r="A30" s="9">
        <v>29.0</v>
      </c>
      <c r="B30" s="20" t="s">
        <v>140</v>
      </c>
      <c r="C30" s="34" t="s">
        <v>159</v>
      </c>
      <c r="D30" s="20" t="s">
        <v>20</v>
      </c>
      <c r="E30" s="4" t="str">
        <f t="shared" si="1"/>
        <v>B</v>
      </c>
      <c r="F30" s="4" t="str">
        <f t="shared" si="2"/>
        <v>B 肉餅飯</v>
      </c>
    </row>
    <row r="31">
      <c r="A31" s="9">
        <v>30.0</v>
      </c>
      <c r="B31" s="16" t="s">
        <v>140</v>
      </c>
      <c r="C31" s="34" t="s">
        <v>161</v>
      </c>
      <c r="D31" s="20" t="s">
        <v>37</v>
      </c>
      <c r="E31" s="4" t="str">
        <f t="shared" si="1"/>
        <v>A</v>
      </c>
      <c r="F31" s="4" t="str">
        <f t="shared" si="2"/>
        <v>A 牛腩飯</v>
      </c>
    </row>
    <row r="32">
      <c r="A32" s="9">
        <v>31.0</v>
      </c>
      <c r="B32" s="16" t="s">
        <v>140</v>
      </c>
      <c r="C32" s="20" t="s">
        <v>163</v>
      </c>
      <c r="D32" s="20" t="s">
        <v>37</v>
      </c>
      <c r="E32" s="4" t="str">
        <f t="shared" si="1"/>
        <v>A</v>
      </c>
      <c r="F32" s="4" t="str">
        <f t="shared" si="2"/>
        <v>A 牛腩飯</v>
      </c>
    </row>
    <row r="33">
      <c r="A33" s="9">
        <v>32.0</v>
      </c>
      <c r="B33" s="71" t="s">
        <v>165</v>
      </c>
      <c r="C33" s="74" t="s">
        <v>170</v>
      </c>
      <c r="D33" s="20" t="s">
        <v>20</v>
      </c>
      <c r="E33" s="4" t="str">
        <f t="shared" si="1"/>
        <v>B</v>
      </c>
      <c r="F33" s="4" t="str">
        <f t="shared" si="2"/>
        <v>B 肉餅飯</v>
      </c>
    </row>
    <row r="34">
      <c r="A34" s="9">
        <v>33.0</v>
      </c>
      <c r="B34" s="71" t="s">
        <v>165</v>
      </c>
      <c r="C34" s="74" t="s">
        <v>173</v>
      </c>
      <c r="D34" s="20" t="s">
        <v>20</v>
      </c>
      <c r="E34" s="4" t="str">
        <f t="shared" si="1"/>
        <v>B</v>
      </c>
      <c r="F34" s="4" t="str">
        <f t="shared" si="2"/>
        <v>B 肉餅飯</v>
      </c>
    </row>
    <row r="35">
      <c r="A35" s="9">
        <v>34.0</v>
      </c>
      <c r="B35" s="71" t="s">
        <v>165</v>
      </c>
      <c r="C35" s="74" t="s">
        <v>175</v>
      </c>
      <c r="D35" s="20" t="s">
        <v>40</v>
      </c>
      <c r="E35" s="4" t="str">
        <f t="shared" si="1"/>
        <v>C</v>
      </c>
      <c r="F35" s="4" t="str">
        <f t="shared" si="2"/>
        <v>C 雞脾飯</v>
      </c>
    </row>
    <row r="36">
      <c r="A36" s="9">
        <v>35.0</v>
      </c>
      <c r="B36" s="71" t="s">
        <v>165</v>
      </c>
      <c r="C36" s="78" t="s">
        <v>176</v>
      </c>
      <c r="D36" s="20" t="s">
        <v>20</v>
      </c>
      <c r="E36" s="4" t="str">
        <f t="shared" si="1"/>
        <v>B</v>
      </c>
      <c r="F36" s="4" t="str">
        <f t="shared" si="2"/>
        <v>B 肉餅飯</v>
      </c>
    </row>
    <row r="37">
      <c r="A37" s="9">
        <v>36.0</v>
      </c>
      <c r="B37" s="71" t="s">
        <v>165</v>
      </c>
      <c r="C37" s="78" t="s">
        <v>180</v>
      </c>
      <c r="D37" s="20" t="s">
        <v>20</v>
      </c>
      <c r="E37" s="4" t="str">
        <f t="shared" si="1"/>
        <v>B</v>
      </c>
      <c r="F37" s="4" t="str">
        <f t="shared" si="2"/>
        <v>B 肉餅飯</v>
      </c>
    </row>
    <row r="38">
      <c r="A38" s="9">
        <v>37.0</v>
      </c>
      <c r="B38" s="71" t="s">
        <v>165</v>
      </c>
      <c r="C38" s="78" t="s">
        <v>183</v>
      </c>
      <c r="D38" s="20" t="s">
        <v>37</v>
      </c>
      <c r="E38" s="4" t="str">
        <f t="shared" si="1"/>
        <v>A</v>
      </c>
      <c r="F38" s="4" t="str">
        <f t="shared" si="2"/>
        <v>A 牛腩飯</v>
      </c>
    </row>
    <row r="39">
      <c r="A39" s="9">
        <v>38.0</v>
      </c>
      <c r="B39" s="71" t="s">
        <v>165</v>
      </c>
      <c r="C39" s="78" t="s">
        <v>184</v>
      </c>
      <c r="D39" s="20" t="s">
        <v>40</v>
      </c>
      <c r="E39" s="4" t="str">
        <f t="shared" si="1"/>
        <v>C</v>
      </c>
      <c r="F39" s="4" t="str">
        <f t="shared" si="2"/>
        <v>C 雞脾飯</v>
      </c>
    </row>
    <row r="40">
      <c r="A40" s="9">
        <v>39.0</v>
      </c>
      <c r="B40" s="71" t="s">
        <v>165</v>
      </c>
      <c r="C40" s="78" t="s">
        <v>185</v>
      </c>
      <c r="D40" s="20" t="s">
        <v>20</v>
      </c>
      <c r="E40" s="4" t="str">
        <f t="shared" si="1"/>
        <v>B</v>
      </c>
      <c r="F40" s="4" t="str">
        <f t="shared" si="2"/>
        <v>B 肉餅飯</v>
      </c>
    </row>
    <row r="41">
      <c r="A41" s="9">
        <v>40.0</v>
      </c>
      <c r="B41" s="71" t="s">
        <v>165</v>
      </c>
      <c r="C41" s="78" t="s">
        <v>186</v>
      </c>
      <c r="D41" s="20" t="s">
        <v>37</v>
      </c>
      <c r="E41" s="4" t="str">
        <f t="shared" si="1"/>
        <v>A</v>
      </c>
      <c r="F41" s="4" t="str">
        <f t="shared" si="2"/>
        <v>A 牛腩飯</v>
      </c>
    </row>
    <row r="42">
      <c r="A42" s="9">
        <v>41.0</v>
      </c>
      <c r="B42" s="71" t="s">
        <v>165</v>
      </c>
      <c r="C42" s="78" t="s">
        <v>186</v>
      </c>
      <c r="D42" s="20" t="s">
        <v>40</v>
      </c>
      <c r="E42" s="4" t="str">
        <f t="shared" si="1"/>
        <v>C</v>
      </c>
      <c r="F42" s="4" t="str">
        <f t="shared" si="2"/>
        <v>C 雞脾飯</v>
      </c>
    </row>
    <row r="43">
      <c r="A43" s="9">
        <v>42.0</v>
      </c>
      <c r="B43" s="71" t="s">
        <v>165</v>
      </c>
      <c r="C43" s="78" t="s">
        <v>192</v>
      </c>
      <c r="D43" s="20" t="s">
        <v>37</v>
      </c>
      <c r="E43" s="4" t="str">
        <f t="shared" si="1"/>
        <v>A</v>
      </c>
      <c r="F43" s="4" t="str">
        <f t="shared" si="2"/>
        <v>A 牛腩飯</v>
      </c>
    </row>
    <row r="44">
      <c r="A44" s="9">
        <v>43.0</v>
      </c>
      <c r="B44" s="87" t="s">
        <v>165</v>
      </c>
      <c r="C44" s="78" t="s">
        <v>201</v>
      </c>
      <c r="D44" s="20" t="s">
        <v>37</v>
      </c>
      <c r="E44" s="4" t="str">
        <f t="shared" si="1"/>
        <v>A</v>
      </c>
      <c r="F44" s="4" t="str">
        <f t="shared" si="2"/>
        <v>A 牛腩飯</v>
      </c>
    </row>
    <row r="45">
      <c r="A45" s="9">
        <v>44.0</v>
      </c>
      <c r="B45" s="87" t="s">
        <v>165</v>
      </c>
      <c r="C45" s="78" t="s">
        <v>206</v>
      </c>
      <c r="D45" s="20" t="s">
        <v>40</v>
      </c>
      <c r="E45" s="4" t="str">
        <f t="shared" si="1"/>
        <v>C</v>
      </c>
      <c r="F45" s="4" t="str">
        <f t="shared" si="2"/>
        <v>C 雞脾飯</v>
      </c>
    </row>
    <row r="46">
      <c r="A46" s="9">
        <v>45.0</v>
      </c>
      <c r="B46" s="16" t="s">
        <v>31</v>
      </c>
      <c r="C46" s="16" t="s">
        <v>207</v>
      </c>
      <c r="D46" s="20" t="s">
        <v>79</v>
      </c>
      <c r="E46" s="4" t="str">
        <f t="shared" si="1"/>
        <v>R</v>
      </c>
      <c r="F46" s="4" t="str">
        <f t="shared" si="2"/>
        <v>午餐一份</v>
      </c>
    </row>
    <row r="47">
      <c r="A47" s="9">
        <v>46.0</v>
      </c>
      <c r="B47" s="16" t="s">
        <v>31</v>
      </c>
      <c r="C47" s="91" t="s">
        <v>209</v>
      </c>
      <c r="D47" s="20" t="s">
        <v>79</v>
      </c>
      <c r="E47" s="4" t="str">
        <f t="shared" si="1"/>
        <v>R</v>
      </c>
      <c r="F47" s="4" t="str">
        <f t="shared" si="2"/>
        <v>午餐一份</v>
      </c>
    </row>
    <row r="48">
      <c r="A48" s="9">
        <v>47.0</v>
      </c>
      <c r="B48" s="16" t="s">
        <v>31</v>
      </c>
      <c r="C48" s="91" t="s">
        <v>212</v>
      </c>
      <c r="D48" s="20" t="s">
        <v>79</v>
      </c>
      <c r="E48" s="4" t="str">
        <f t="shared" si="1"/>
        <v>R</v>
      </c>
      <c r="F48" s="4" t="str">
        <f t="shared" si="2"/>
        <v>午餐一份</v>
      </c>
    </row>
    <row r="49">
      <c r="A49" s="9">
        <v>48.0</v>
      </c>
      <c r="B49" s="16" t="s">
        <v>31</v>
      </c>
      <c r="C49" s="91" t="s">
        <v>214</v>
      </c>
      <c r="D49" s="20" t="s">
        <v>79</v>
      </c>
      <c r="E49" s="4" t="str">
        <f t="shared" si="1"/>
        <v>R</v>
      </c>
      <c r="F49" s="4" t="str">
        <f t="shared" si="2"/>
        <v>午餐一份</v>
      </c>
    </row>
    <row r="50">
      <c r="A50" s="9">
        <v>49.0</v>
      </c>
      <c r="B50" s="16" t="s">
        <v>31</v>
      </c>
      <c r="C50" s="91" t="s">
        <v>217</v>
      </c>
      <c r="D50" s="20" t="s">
        <v>79</v>
      </c>
      <c r="E50" s="4" t="str">
        <f t="shared" si="1"/>
        <v>R</v>
      </c>
      <c r="F50" s="4" t="str">
        <f t="shared" si="2"/>
        <v>午餐一份</v>
      </c>
    </row>
    <row r="51">
      <c r="A51" s="9">
        <v>50.0</v>
      </c>
      <c r="B51" s="16" t="s">
        <v>31</v>
      </c>
      <c r="C51" s="91" t="s">
        <v>218</v>
      </c>
      <c r="D51" s="20" t="s">
        <v>79</v>
      </c>
      <c r="E51" s="4" t="str">
        <f t="shared" si="1"/>
        <v>R</v>
      </c>
      <c r="F51" s="4" t="str">
        <f t="shared" si="2"/>
        <v>午餐一份</v>
      </c>
    </row>
    <row r="52">
      <c r="A52" s="9">
        <v>51.0</v>
      </c>
      <c r="B52" s="16" t="s">
        <v>31</v>
      </c>
      <c r="C52" s="91" t="s">
        <v>221</v>
      </c>
      <c r="D52" s="20" t="s">
        <v>79</v>
      </c>
      <c r="E52" s="4" t="str">
        <f t="shared" si="1"/>
        <v>R</v>
      </c>
      <c r="F52" s="4" t="str">
        <f t="shared" si="2"/>
        <v>午餐一份</v>
      </c>
    </row>
    <row r="53">
      <c r="A53" s="9">
        <v>52.0</v>
      </c>
      <c r="B53" s="16" t="s">
        <v>31</v>
      </c>
      <c r="C53" s="91" t="s">
        <v>223</v>
      </c>
      <c r="D53" s="20" t="s">
        <v>79</v>
      </c>
      <c r="E53" s="4" t="str">
        <f t="shared" si="1"/>
        <v>R</v>
      </c>
      <c r="F53" s="4" t="str">
        <f t="shared" si="2"/>
        <v>午餐一份</v>
      </c>
    </row>
    <row r="54">
      <c r="A54" s="9">
        <v>53.0</v>
      </c>
      <c r="B54" s="16" t="s">
        <v>31</v>
      </c>
      <c r="C54" s="94" t="s">
        <v>225</v>
      </c>
      <c r="D54" s="20" t="s">
        <v>79</v>
      </c>
      <c r="E54" s="4" t="str">
        <f t="shared" si="1"/>
        <v>R</v>
      </c>
      <c r="F54" s="4" t="str">
        <f t="shared" si="2"/>
        <v>午餐一份</v>
      </c>
    </row>
    <row r="55">
      <c r="A55" s="9">
        <v>54.0</v>
      </c>
      <c r="B55" s="16" t="s">
        <v>31</v>
      </c>
      <c r="C55" s="94" t="s">
        <v>228</v>
      </c>
      <c r="D55" s="20" t="s">
        <v>79</v>
      </c>
      <c r="E55" s="4" t="str">
        <f t="shared" si="1"/>
        <v>R</v>
      </c>
      <c r="F55" s="4" t="str">
        <f t="shared" si="2"/>
        <v>午餐一份</v>
      </c>
    </row>
    <row r="56">
      <c r="A56" s="9">
        <v>55.0</v>
      </c>
      <c r="B56" s="16" t="s">
        <v>31</v>
      </c>
      <c r="C56" s="94" t="s">
        <v>231</v>
      </c>
      <c r="D56" s="20" t="s">
        <v>79</v>
      </c>
      <c r="E56" s="4" t="str">
        <f t="shared" si="1"/>
        <v>R</v>
      </c>
      <c r="F56" s="4" t="str">
        <f t="shared" si="2"/>
        <v>午餐一份</v>
      </c>
    </row>
    <row r="57">
      <c r="A57" s="9">
        <v>56.0</v>
      </c>
      <c r="B57" s="16" t="s">
        <v>31</v>
      </c>
      <c r="C57" s="94" t="s">
        <v>232</v>
      </c>
      <c r="D57" s="20" t="s">
        <v>79</v>
      </c>
      <c r="E57" s="4" t="str">
        <f t="shared" si="1"/>
        <v>R</v>
      </c>
      <c r="F57" s="4" t="str">
        <f t="shared" si="2"/>
        <v>午餐一份</v>
      </c>
    </row>
    <row r="58">
      <c r="A58" s="9">
        <v>57.0</v>
      </c>
      <c r="B58" s="16" t="s">
        <v>31</v>
      </c>
      <c r="C58" s="94" t="s">
        <v>233</v>
      </c>
      <c r="D58" s="20" t="s">
        <v>79</v>
      </c>
      <c r="E58" s="4" t="str">
        <f t="shared" si="1"/>
        <v>R</v>
      </c>
      <c r="F58" s="4" t="str">
        <f t="shared" si="2"/>
        <v>午餐一份</v>
      </c>
    </row>
    <row r="59">
      <c r="A59" s="9">
        <v>58.0</v>
      </c>
      <c r="B59" s="16" t="s">
        <v>31</v>
      </c>
      <c r="C59" s="94" t="s">
        <v>235</v>
      </c>
      <c r="D59" s="20" t="s">
        <v>79</v>
      </c>
      <c r="E59" s="4" t="str">
        <f t="shared" si="1"/>
        <v>R</v>
      </c>
      <c r="F59" s="4" t="str">
        <f t="shared" si="2"/>
        <v>午餐一份</v>
      </c>
    </row>
    <row r="60">
      <c r="A60" s="9">
        <v>59.0</v>
      </c>
      <c r="B60" s="16" t="s">
        <v>31</v>
      </c>
      <c r="C60" s="94" t="s">
        <v>237</v>
      </c>
      <c r="D60" s="20" t="s">
        <v>79</v>
      </c>
      <c r="E60" s="4" t="str">
        <f t="shared" si="1"/>
        <v>R</v>
      </c>
      <c r="F60" s="4" t="str">
        <f t="shared" si="2"/>
        <v>午餐一份</v>
      </c>
    </row>
    <row r="61">
      <c r="A61" s="9">
        <v>60.0</v>
      </c>
      <c r="B61" s="16" t="s">
        <v>32</v>
      </c>
      <c r="C61" s="99" t="s">
        <v>239</v>
      </c>
      <c r="D61" s="16" t="s">
        <v>37</v>
      </c>
      <c r="E61" s="4" t="str">
        <f t="shared" si="1"/>
        <v>A</v>
      </c>
      <c r="F61" s="4" t="str">
        <f t="shared" si="2"/>
        <v>A 牛腩飯</v>
      </c>
    </row>
    <row r="62">
      <c r="A62" s="9">
        <v>61.0</v>
      </c>
      <c r="B62" s="16" t="s">
        <v>32</v>
      </c>
      <c r="C62" s="99" t="s">
        <v>242</v>
      </c>
      <c r="D62" s="16" t="s">
        <v>37</v>
      </c>
      <c r="E62" s="4" t="str">
        <f t="shared" si="1"/>
        <v>A</v>
      </c>
      <c r="F62" s="4" t="str">
        <f t="shared" si="2"/>
        <v>A 牛腩飯</v>
      </c>
    </row>
    <row r="63">
      <c r="A63" s="9">
        <v>62.0</v>
      </c>
      <c r="B63" s="16" t="s">
        <v>32</v>
      </c>
      <c r="C63" s="60" t="s">
        <v>243</v>
      </c>
      <c r="D63" s="20" t="s">
        <v>37</v>
      </c>
      <c r="E63" s="4" t="str">
        <f t="shared" si="1"/>
        <v>A</v>
      </c>
      <c r="F63" s="4" t="str">
        <f t="shared" si="2"/>
        <v>A 牛腩飯</v>
      </c>
    </row>
    <row r="64">
      <c r="A64" s="9">
        <v>63.0</v>
      </c>
      <c r="B64" s="16" t="s">
        <v>32</v>
      </c>
      <c r="C64" s="99" t="s">
        <v>245</v>
      </c>
      <c r="D64" s="20" t="s">
        <v>20</v>
      </c>
      <c r="E64" s="4" t="str">
        <f t="shared" si="1"/>
        <v>B</v>
      </c>
      <c r="F64" s="4" t="str">
        <f t="shared" si="2"/>
        <v>B 肉餅飯</v>
      </c>
    </row>
    <row r="65">
      <c r="A65" s="9">
        <v>64.0</v>
      </c>
      <c r="B65" s="16" t="s">
        <v>32</v>
      </c>
      <c r="C65" s="99" t="s">
        <v>247</v>
      </c>
      <c r="D65" s="20" t="s">
        <v>20</v>
      </c>
      <c r="E65" s="4" t="str">
        <f t="shared" si="1"/>
        <v>B</v>
      </c>
      <c r="F65" s="4" t="str">
        <f t="shared" si="2"/>
        <v>B 肉餅飯</v>
      </c>
    </row>
    <row r="66">
      <c r="A66" s="9">
        <v>65.0</v>
      </c>
      <c r="B66" s="16" t="s">
        <v>32</v>
      </c>
      <c r="C66" s="99" t="s">
        <v>250</v>
      </c>
      <c r="D66" s="20" t="s">
        <v>40</v>
      </c>
      <c r="E66" s="4" t="str">
        <f t="shared" si="1"/>
        <v>C</v>
      </c>
      <c r="F66" s="4" t="str">
        <f t="shared" si="2"/>
        <v>C 雞脾飯</v>
      </c>
    </row>
    <row r="67">
      <c r="A67" s="9">
        <v>66.0</v>
      </c>
      <c r="B67" s="16" t="s">
        <v>32</v>
      </c>
      <c r="C67" s="99" t="s">
        <v>251</v>
      </c>
      <c r="D67" s="16" t="s">
        <v>40</v>
      </c>
      <c r="E67" s="4" t="str">
        <f t="shared" si="1"/>
        <v>C</v>
      </c>
      <c r="F67" s="4" t="str">
        <f t="shared" si="2"/>
        <v>C 雞脾飯</v>
      </c>
    </row>
    <row r="68">
      <c r="A68" s="9">
        <v>67.0</v>
      </c>
      <c r="B68" s="16" t="s">
        <v>32</v>
      </c>
      <c r="C68" s="104" t="s">
        <v>252</v>
      </c>
      <c r="D68" s="16" t="s">
        <v>40</v>
      </c>
      <c r="E68" s="4" t="str">
        <f t="shared" si="1"/>
        <v>C</v>
      </c>
      <c r="F68" s="4" t="str">
        <f t="shared" si="2"/>
        <v>C 雞脾飯</v>
      </c>
    </row>
    <row r="69">
      <c r="A69" s="9">
        <v>68.0</v>
      </c>
      <c r="B69" s="16" t="s">
        <v>32</v>
      </c>
      <c r="C69" s="99" t="s">
        <v>256</v>
      </c>
      <c r="D69" s="20" t="s">
        <v>40</v>
      </c>
      <c r="E69" s="4" t="str">
        <f t="shared" si="1"/>
        <v>C</v>
      </c>
      <c r="F69" s="4" t="str">
        <f t="shared" si="2"/>
        <v>C 雞脾飯</v>
      </c>
    </row>
    <row r="70">
      <c r="A70" s="9">
        <v>69.0</v>
      </c>
      <c r="B70" s="16" t="s">
        <v>32</v>
      </c>
      <c r="C70" s="105" t="s">
        <v>257</v>
      </c>
      <c r="D70" s="20" t="s">
        <v>79</v>
      </c>
      <c r="E70" s="4" t="str">
        <f t="shared" si="1"/>
        <v>R</v>
      </c>
      <c r="F70" s="4" t="str">
        <f t="shared" si="2"/>
        <v>午餐一份</v>
      </c>
    </row>
    <row r="71">
      <c r="A71" s="9">
        <v>70.0</v>
      </c>
      <c r="B71" s="16" t="s">
        <v>32</v>
      </c>
      <c r="C71" s="105" t="s">
        <v>260</v>
      </c>
      <c r="D71" s="20" t="s">
        <v>79</v>
      </c>
      <c r="E71" s="4" t="str">
        <f t="shared" si="1"/>
        <v>R</v>
      </c>
      <c r="F71" s="4" t="str">
        <f t="shared" si="2"/>
        <v>午餐一份</v>
      </c>
    </row>
    <row r="72">
      <c r="A72" s="9">
        <v>71.0</v>
      </c>
      <c r="B72" s="16" t="s">
        <v>32</v>
      </c>
      <c r="C72" s="110" t="s">
        <v>263</v>
      </c>
      <c r="D72" s="20" t="s">
        <v>79</v>
      </c>
      <c r="E72" s="4" t="str">
        <f t="shared" si="1"/>
        <v>R</v>
      </c>
      <c r="F72" s="4" t="str">
        <f t="shared" si="2"/>
        <v>午餐一份</v>
      </c>
    </row>
    <row r="73">
      <c r="A73" s="9">
        <v>72.0</v>
      </c>
      <c r="B73" s="16" t="s">
        <v>32</v>
      </c>
      <c r="C73" s="113" t="s">
        <v>265</v>
      </c>
      <c r="D73" s="20" t="s">
        <v>79</v>
      </c>
      <c r="E73" s="4" t="str">
        <f t="shared" si="1"/>
        <v>R</v>
      </c>
      <c r="F73" s="4" t="str">
        <f t="shared" si="2"/>
        <v>午餐一份</v>
      </c>
    </row>
    <row r="74">
      <c r="A74" s="9">
        <v>73.0</v>
      </c>
      <c r="B74" s="16" t="s">
        <v>32</v>
      </c>
      <c r="C74" s="113" t="s">
        <v>266</v>
      </c>
      <c r="D74" s="20" t="s">
        <v>79</v>
      </c>
      <c r="E74" s="4" t="str">
        <f t="shared" si="1"/>
        <v>R</v>
      </c>
      <c r="F74" s="4" t="str">
        <f t="shared" si="2"/>
        <v>午餐一份</v>
      </c>
    </row>
    <row r="75">
      <c r="A75" s="9">
        <v>74.0</v>
      </c>
      <c r="B75" s="16" t="s">
        <v>32</v>
      </c>
      <c r="C75" s="113" t="s">
        <v>270</v>
      </c>
      <c r="D75" s="20" t="s">
        <v>79</v>
      </c>
      <c r="E75" s="4" t="str">
        <f t="shared" si="1"/>
        <v>R</v>
      </c>
      <c r="F75" s="4" t="str">
        <f t="shared" si="2"/>
        <v>午餐一份</v>
      </c>
    </row>
    <row r="76">
      <c r="A76" s="9">
        <v>75.0</v>
      </c>
      <c r="B76" s="16" t="s">
        <v>32</v>
      </c>
      <c r="C76" s="113" t="s">
        <v>271</v>
      </c>
      <c r="D76" s="20" t="s">
        <v>79</v>
      </c>
      <c r="E76" s="4" t="str">
        <f t="shared" si="1"/>
        <v>R</v>
      </c>
      <c r="F76" s="4" t="str">
        <f t="shared" si="2"/>
        <v>午餐一份</v>
      </c>
    </row>
    <row r="77">
      <c r="A77" s="9">
        <v>76.0</v>
      </c>
      <c r="B77" s="20" t="s">
        <v>34</v>
      </c>
      <c r="C77" s="16" t="s">
        <v>70</v>
      </c>
      <c r="D77" s="20" t="s">
        <v>79</v>
      </c>
      <c r="E77" s="4" t="str">
        <f t="shared" si="1"/>
        <v>R</v>
      </c>
      <c r="F77" s="4" t="str">
        <f t="shared" si="2"/>
        <v>午餐一份</v>
      </c>
    </row>
    <row r="78">
      <c r="A78" s="9">
        <v>77.0</v>
      </c>
      <c r="B78" s="20" t="s">
        <v>34</v>
      </c>
      <c r="C78" s="16" t="s">
        <v>130</v>
      </c>
      <c r="D78" s="20" t="s">
        <v>79</v>
      </c>
      <c r="E78" s="4" t="str">
        <f t="shared" si="1"/>
        <v>R</v>
      </c>
      <c r="F78" s="4" t="str">
        <f t="shared" si="2"/>
        <v>午餐一份</v>
      </c>
    </row>
    <row r="79">
      <c r="A79" s="9">
        <v>78.0</v>
      </c>
      <c r="B79" s="20" t="s">
        <v>34</v>
      </c>
      <c r="C79" s="16" t="s">
        <v>142</v>
      </c>
      <c r="D79" s="20" t="s">
        <v>79</v>
      </c>
      <c r="E79" s="4" t="str">
        <f t="shared" si="1"/>
        <v>R</v>
      </c>
      <c r="F79" s="4" t="str">
        <f t="shared" si="2"/>
        <v>午餐一份</v>
      </c>
    </row>
    <row r="80">
      <c r="A80" s="9">
        <v>79.0</v>
      </c>
      <c r="B80" s="20" t="s">
        <v>34</v>
      </c>
      <c r="C80" s="16" t="s">
        <v>147</v>
      </c>
      <c r="D80" s="20" t="s">
        <v>79</v>
      </c>
      <c r="E80" s="4" t="str">
        <f t="shared" si="1"/>
        <v>R</v>
      </c>
      <c r="F80" s="4" t="str">
        <f t="shared" si="2"/>
        <v>午餐一份</v>
      </c>
    </row>
    <row r="81">
      <c r="A81" s="9">
        <v>80.0</v>
      </c>
      <c r="B81" s="20" t="s">
        <v>34</v>
      </c>
      <c r="C81" s="16" t="s">
        <v>153</v>
      </c>
      <c r="D81" s="20" t="s">
        <v>79</v>
      </c>
      <c r="E81" s="4" t="str">
        <f t="shared" si="1"/>
        <v>R</v>
      </c>
      <c r="F81" s="4" t="str">
        <f t="shared" si="2"/>
        <v>午餐一份</v>
      </c>
    </row>
    <row r="82">
      <c r="A82" s="9">
        <v>81.0</v>
      </c>
      <c r="B82" s="20" t="s">
        <v>34</v>
      </c>
      <c r="C82" s="16" t="s">
        <v>164</v>
      </c>
      <c r="D82" s="20" t="s">
        <v>79</v>
      </c>
      <c r="E82" s="4" t="str">
        <f t="shared" si="1"/>
        <v>R</v>
      </c>
      <c r="F82" s="4" t="str">
        <f t="shared" si="2"/>
        <v>午餐一份</v>
      </c>
    </row>
    <row r="83">
      <c r="A83" s="9">
        <v>82.0</v>
      </c>
      <c r="B83" s="83" t="s">
        <v>42</v>
      </c>
      <c r="C83" s="81"/>
      <c r="D83" s="40" t="s">
        <v>79</v>
      </c>
      <c r="E83" s="4" t="str">
        <f t="shared" si="1"/>
        <v>R</v>
      </c>
      <c r="F83" s="4" t="str">
        <f t="shared" si="2"/>
        <v>午餐一份</v>
      </c>
    </row>
    <row r="84">
      <c r="A84" s="9">
        <v>83.0</v>
      </c>
      <c r="B84" s="83" t="s">
        <v>42</v>
      </c>
      <c r="C84" s="81"/>
      <c r="D84" s="40" t="s">
        <v>79</v>
      </c>
      <c r="E84" s="4" t="str">
        <f t="shared" si="1"/>
        <v>R</v>
      </c>
      <c r="F84" s="4" t="str">
        <f t="shared" si="2"/>
        <v>午餐一份</v>
      </c>
    </row>
    <row r="85">
      <c r="A85" s="9">
        <v>84.0</v>
      </c>
      <c r="B85" s="93" t="s">
        <v>43</v>
      </c>
      <c r="C85" s="90"/>
      <c r="D85" s="62" t="s">
        <v>79</v>
      </c>
      <c r="E85" s="4" t="str">
        <f t="shared" si="1"/>
        <v>R</v>
      </c>
      <c r="F85" s="4" t="str">
        <f t="shared" si="2"/>
        <v>午餐一份</v>
      </c>
    </row>
    <row r="86">
      <c r="A86" s="9">
        <v>85.0</v>
      </c>
      <c r="B86" s="93" t="s">
        <v>43</v>
      </c>
      <c r="C86" s="90"/>
      <c r="D86" s="62" t="s">
        <v>79</v>
      </c>
      <c r="E86" s="4" t="str">
        <f t="shared" si="1"/>
        <v>R</v>
      </c>
      <c r="F86" s="4" t="str">
        <f t="shared" si="2"/>
        <v>午餐一份</v>
      </c>
    </row>
    <row r="87">
      <c r="A87" s="9">
        <v>86.0</v>
      </c>
      <c r="B87" s="93" t="s">
        <v>43</v>
      </c>
      <c r="C87" s="90"/>
      <c r="D87" s="62" t="s">
        <v>79</v>
      </c>
      <c r="E87" s="4" t="str">
        <f t="shared" si="1"/>
        <v>R</v>
      </c>
      <c r="F87" s="4" t="str">
        <f t="shared" si="2"/>
        <v>午餐一份</v>
      </c>
    </row>
    <row r="88">
      <c r="A88" s="9">
        <v>87.0</v>
      </c>
      <c r="B88" s="83" t="s">
        <v>44</v>
      </c>
      <c r="C88" s="81"/>
      <c r="D88" s="40" t="s">
        <v>79</v>
      </c>
      <c r="E88" s="4" t="str">
        <f t="shared" si="1"/>
        <v>R</v>
      </c>
      <c r="F88" s="4" t="str">
        <f t="shared" si="2"/>
        <v>午餐一份</v>
      </c>
    </row>
    <row r="89">
      <c r="A89" s="9">
        <v>88.0</v>
      </c>
      <c r="B89" s="83" t="s">
        <v>44</v>
      </c>
      <c r="C89" s="81"/>
      <c r="D89" s="40" t="s">
        <v>79</v>
      </c>
      <c r="E89" s="4" t="str">
        <f t="shared" si="1"/>
        <v>R</v>
      </c>
      <c r="F89" s="4" t="str">
        <f t="shared" si="2"/>
        <v>午餐一份</v>
      </c>
    </row>
    <row r="90">
      <c r="A90" s="9">
        <v>89.0</v>
      </c>
      <c r="B90" s="83" t="s">
        <v>44</v>
      </c>
      <c r="C90" s="81"/>
      <c r="D90" s="40" t="s">
        <v>79</v>
      </c>
      <c r="E90" s="4" t="str">
        <f t="shared" si="1"/>
        <v>R</v>
      </c>
      <c r="F90" s="4" t="str">
        <f t="shared" si="2"/>
        <v>午餐一份</v>
      </c>
    </row>
    <row r="91">
      <c r="A91" s="9">
        <v>90.0</v>
      </c>
      <c r="B91" s="83" t="s">
        <v>44</v>
      </c>
      <c r="C91" s="81"/>
      <c r="D91" s="40" t="s">
        <v>79</v>
      </c>
      <c r="E91" s="4" t="str">
        <f t="shared" si="1"/>
        <v>R</v>
      </c>
      <c r="F91" s="4" t="str">
        <f t="shared" si="2"/>
        <v>午餐一份</v>
      </c>
    </row>
    <row r="92">
      <c r="A92" s="9">
        <v>91.0</v>
      </c>
      <c r="B92" s="83" t="s">
        <v>44</v>
      </c>
      <c r="C92" s="81"/>
      <c r="D92" s="40" t="s">
        <v>79</v>
      </c>
      <c r="E92" s="4" t="str">
        <f t="shared" si="1"/>
        <v>R</v>
      </c>
      <c r="F92" s="4" t="str">
        <f t="shared" si="2"/>
        <v>午餐一份</v>
      </c>
    </row>
    <row r="93">
      <c r="A93" s="9">
        <v>92.0</v>
      </c>
      <c r="B93" s="93" t="s">
        <v>46</v>
      </c>
      <c r="C93" s="90"/>
      <c r="D93" s="62" t="s">
        <v>79</v>
      </c>
      <c r="E93" s="4" t="str">
        <f t="shared" si="1"/>
        <v>R</v>
      </c>
      <c r="F93" s="4" t="str">
        <f t="shared" si="2"/>
        <v>午餐一份</v>
      </c>
    </row>
    <row r="94">
      <c r="A94" s="9">
        <v>93.0</v>
      </c>
      <c r="B94" s="93" t="s">
        <v>46</v>
      </c>
      <c r="C94" s="90"/>
      <c r="D94" s="62" t="s">
        <v>79</v>
      </c>
      <c r="E94" s="4" t="str">
        <f t="shared" si="1"/>
        <v>R</v>
      </c>
      <c r="F94" s="4" t="str">
        <f t="shared" si="2"/>
        <v>午餐一份</v>
      </c>
    </row>
    <row r="95">
      <c r="A95" s="9">
        <v>94.0</v>
      </c>
      <c r="B95" s="93" t="s">
        <v>46</v>
      </c>
      <c r="C95" s="90"/>
      <c r="D95" s="62" t="s">
        <v>79</v>
      </c>
      <c r="E95" s="4" t="str">
        <f t="shared" si="1"/>
        <v>R</v>
      </c>
      <c r="F95" s="4" t="str">
        <f t="shared" si="2"/>
        <v>午餐一份</v>
      </c>
    </row>
    <row r="96">
      <c r="A96" s="9">
        <v>95.0</v>
      </c>
      <c r="B96" s="93" t="s">
        <v>46</v>
      </c>
      <c r="C96" s="90"/>
      <c r="D96" s="62" t="s">
        <v>79</v>
      </c>
      <c r="E96" s="4" t="str">
        <f t="shared" si="1"/>
        <v>R</v>
      </c>
      <c r="F96" s="4" t="str">
        <f t="shared" si="2"/>
        <v>午餐一份</v>
      </c>
    </row>
    <row r="97">
      <c r="A97" s="9">
        <v>96.0</v>
      </c>
      <c r="B97" s="93" t="s">
        <v>46</v>
      </c>
      <c r="C97" s="90"/>
      <c r="D97" s="62" t="s">
        <v>79</v>
      </c>
      <c r="E97" s="4" t="str">
        <f t="shared" si="1"/>
        <v>R</v>
      </c>
      <c r="F97" s="4" t="str">
        <f t="shared" si="2"/>
        <v>午餐一份</v>
      </c>
    </row>
    <row r="98">
      <c r="A98" s="9">
        <v>97.0</v>
      </c>
      <c r="B98" s="123" t="s">
        <v>51</v>
      </c>
      <c r="C98" s="75" t="s">
        <v>293</v>
      </c>
      <c r="D98" s="40" t="s">
        <v>79</v>
      </c>
      <c r="E98" s="4" t="str">
        <f t="shared" si="1"/>
        <v>R</v>
      </c>
      <c r="F98" s="4" t="str">
        <f t="shared" si="2"/>
        <v>午餐一份</v>
      </c>
    </row>
    <row r="99">
      <c r="A99" s="9">
        <v>98.0</v>
      </c>
      <c r="B99" s="123" t="s">
        <v>51</v>
      </c>
      <c r="C99" s="75" t="s">
        <v>293</v>
      </c>
      <c r="D99" s="40" t="s">
        <v>79</v>
      </c>
      <c r="E99" s="4" t="str">
        <f t="shared" si="1"/>
        <v>R</v>
      </c>
      <c r="F99" s="4" t="str">
        <f t="shared" si="2"/>
        <v>午餐一份</v>
      </c>
    </row>
    <row r="100">
      <c r="A100" s="9">
        <v>99.0</v>
      </c>
      <c r="B100" s="133" t="s">
        <v>54</v>
      </c>
      <c r="C100" s="134" t="s">
        <v>293</v>
      </c>
      <c r="D100" s="62" t="s">
        <v>79</v>
      </c>
      <c r="E100" s="4" t="str">
        <f t="shared" si="1"/>
        <v>R</v>
      </c>
      <c r="F100" s="4" t="str">
        <f t="shared" si="2"/>
        <v>午餐一份</v>
      </c>
    </row>
    <row r="101">
      <c r="A101" s="9">
        <v>100.0</v>
      </c>
      <c r="B101" s="133" t="s">
        <v>54</v>
      </c>
      <c r="C101" s="134" t="s">
        <v>293</v>
      </c>
      <c r="D101" s="62" t="s">
        <v>79</v>
      </c>
      <c r="E101" s="4" t="str">
        <f t="shared" si="1"/>
        <v>R</v>
      </c>
      <c r="F101" s="4" t="str">
        <f t="shared" si="2"/>
        <v>午餐一份</v>
      </c>
    </row>
    <row r="102">
      <c r="A102" s="9">
        <v>101.0</v>
      </c>
      <c r="B102" s="133" t="s">
        <v>54</v>
      </c>
      <c r="C102" s="134" t="s">
        <v>293</v>
      </c>
      <c r="D102" s="62" t="s">
        <v>79</v>
      </c>
      <c r="E102" s="4" t="str">
        <f t="shared" si="1"/>
        <v>R</v>
      </c>
      <c r="F102" s="4" t="str">
        <f t="shared" si="2"/>
        <v>午餐一份</v>
      </c>
    </row>
    <row r="103">
      <c r="A103" s="9">
        <v>102.0</v>
      </c>
      <c r="B103" s="133" t="s">
        <v>54</v>
      </c>
      <c r="C103" s="134" t="s">
        <v>293</v>
      </c>
      <c r="D103" s="62" t="s">
        <v>79</v>
      </c>
      <c r="E103" s="4" t="str">
        <f t="shared" si="1"/>
        <v>R</v>
      </c>
      <c r="F103" s="4" t="str">
        <f t="shared" si="2"/>
        <v>午餐一份</v>
      </c>
    </row>
    <row r="104">
      <c r="A104" s="9">
        <v>103.0</v>
      </c>
      <c r="B104" s="123" t="s">
        <v>55</v>
      </c>
      <c r="C104" s="75" t="s">
        <v>293</v>
      </c>
      <c r="D104" s="40" t="s">
        <v>79</v>
      </c>
      <c r="E104" s="4" t="str">
        <f t="shared" si="1"/>
        <v>R</v>
      </c>
      <c r="F104" s="4" t="str">
        <f t="shared" si="2"/>
        <v>午餐一份</v>
      </c>
    </row>
    <row r="105">
      <c r="A105" s="9">
        <v>104.0</v>
      </c>
      <c r="B105" s="123" t="s">
        <v>55</v>
      </c>
      <c r="C105" s="75" t="s">
        <v>293</v>
      </c>
      <c r="D105" s="40" t="s">
        <v>79</v>
      </c>
      <c r="E105" s="4" t="str">
        <f t="shared" si="1"/>
        <v>R</v>
      </c>
      <c r="F105" s="4" t="str">
        <f t="shared" si="2"/>
        <v>午餐一份</v>
      </c>
    </row>
    <row r="106">
      <c r="A106" s="9">
        <v>105.0</v>
      </c>
      <c r="B106" s="123" t="s">
        <v>55</v>
      </c>
      <c r="C106" s="75" t="s">
        <v>293</v>
      </c>
      <c r="D106" s="40" t="s">
        <v>79</v>
      </c>
      <c r="E106" s="4" t="str">
        <f t="shared" si="1"/>
        <v>R</v>
      </c>
      <c r="F106" s="4" t="str">
        <f t="shared" si="2"/>
        <v>午餐一份</v>
      </c>
    </row>
    <row r="107">
      <c r="A107" s="9">
        <v>106.0</v>
      </c>
      <c r="B107" s="123" t="s">
        <v>55</v>
      </c>
      <c r="C107" s="75" t="s">
        <v>293</v>
      </c>
      <c r="D107" s="40" t="s">
        <v>79</v>
      </c>
      <c r="E107" s="4" t="str">
        <f t="shared" si="1"/>
        <v>R</v>
      </c>
      <c r="F107" s="4" t="str">
        <f t="shared" si="2"/>
        <v>午餐一份</v>
      </c>
    </row>
    <row r="108">
      <c r="A108" s="9">
        <v>107.0</v>
      </c>
      <c r="B108" s="123" t="s">
        <v>55</v>
      </c>
      <c r="C108" s="75" t="s">
        <v>293</v>
      </c>
      <c r="D108" s="40" t="s">
        <v>79</v>
      </c>
      <c r="E108" s="4" t="str">
        <f t="shared" si="1"/>
        <v>R</v>
      </c>
      <c r="F108" s="4" t="str">
        <f t="shared" si="2"/>
        <v>午餐一份</v>
      </c>
    </row>
    <row r="109">
      <c r="A109" s="9">
        <v>108.0</v>
      </c>
      <c r="B109" s="20" t="s">
        <v>56</v>
      </c>
      <c r="C109" s="34" t="s">
        <v>293</v>
      </c>
      <c r="D109" s="20" t="s">
        <v>79</v>
      </c>
      <c r="E109" s="4" t="str">
        <f t="shared" si="1"/>
        <v>R</v>
      </c>
      <c r="F109" s="4" t="str">
        <f t="shared" si="2"/>
        <v>午餐一份</v>
      </c>
    </row>
    <row r="110">
      <c r="A110" s="9">
        <v>109.0</v>
      </c>
      <c r="B110" s="20" t="s">
        <v>56</v>
      </c>
      <c r="C110" s="34" t="s">
        <v>293</v>
      </c>
      <c r="D110" s="20" t="s">
        <v>79</v>
      </c>
      <c r="E110" s="4" t="str">
        <f t="shared" si="1"/>
        <v>R</v>
      </c>
      <c r="F110" s="4" t="str">
        <f t="shared" si="2"/>
        <v>午餐一份</v>
      </c>
    </row>
    <row r="111">
      <c r="A111" s="9">
        <v>110.0</v>
      </c>
      <c r="B111" s="20" t="s">
        <v>56</v>
      </c>
      <c r="C111" s="34" t="s">
        <v>293</v>
      </c>
      <c r="D111" s="20" t="s">
        <v>79</v>
      </c>
      <c r="E111" s="4" t="str">
        <f t="shared" si="1"/>
        <v>R</v>
      </c>
      <c r="F111" s="4" t="str">
        <f t="shared" si="2"/>
        <v>午餐一份</v>
      </c>
    </row>
    <row r="112">
      <c r="A112" s="9">
        <v>111.0</v>
      </c>
      <c r="B112" s="123" t="s">
        <v>57</v>
      </c>
      <c r="C112" s="75" t="s">
        <v>293</v>
      </c>
      <c r="D112" s="40" t="s">
        <v>79</v>
      </c>
      <c r="E112" s="4" t="str">
        <f t="shared" si="1"/>
        <v>R</v>
      </c>
      <c r="F112" s="4" t="str">
        <f t="shared" si="2"/>
        <v>午餐一份</v>
      </c>
    </row>
    <row r="113">
      <c r="A113" s="9">
        <v>112.0</v>
      </c>
      <c r="B113" s="123" t="s">
        <v>57</v>
      </c>
      <c r="C113" s="75" t="s">
        <v>293</v>
      </c>
      <c r="D113" s="40" t="s">
        <v>79</v>
      </c>
      <c r="E113" s="4" t="str">
        <f t="shared" si="1"/>
        <v>R</v>
      </c>
      <c r="F113" s="4" t="str">
        <f t="shared" si="2"/>
        <v>午餐一份</v>
      </c>
    </row>
    <row r="114">
      <c r="A114" s="9">
        <v>113.0</v>
      </c>
      <c r="B114" s="123" t="s">
        <v>57</v>
      </c>
      <c r="C114" s="75" t="s">
        <v>293</v>
      </c>
      <c r="D114" s="40" t="s">
        <v>79</v>
      </c>
      <c r="E114" s="4" t="str">
        <f t="shared" si="1"/>
        <v>R</v>
      </c>
      <c r="F114" s="4" t="str">
        <f t="shared" si="2"/>
        <v>午餐一份</v>
      </c>
    </row>
    <row r="115">
      <c r="A115" s="9">
        <v>114.0</v>
      </c>
      <c r="B115" s="123" t="s">
        <v>57</v>
      </c>
      <c r="C115" s="75" t="s">
        <v>293</v>
      </c>
      <c r="D115" s="40" t="s">
        <v>79</v>
      </c>
      <c r="E115" s="4" t="str">
        <f t="shared" si="1"/>
        <v>R</v>
      </c>
      <c r="F115" s="4" t="str">
        <f t="shared" si="2"/>
        <v>午餐一份</v>
      </c>
    </row>
    <row r="116">
      <c r="A116" s="9">
        <v>115.0</v>
      </c>
      <c r="B116" s="123" t="s">
        <v>57</v>
      </c>
      <c r="C116" s="75" t="s">
        <v>293</v>
      </c>
      <c r="D116" s="40" t="s">
        <v>79</v>
      </c>
      <c r="E116" s="4" t="str">
        <f t="shared" si="1"/>
        <v>R</v>
      </c>
      <c r="F116" s="4" t="str">
        <f t="shared" si="2"/>
        <v>午餐一份</v>
      </c>
    </row>
    <row r="117">
      <c r="A117" s="9">
        <v>116.0</v>
      </c>
      <c r="B117" s="133" t="s">
        <v>59</v>
      </c>
      <c r="C117" s="34" t="s">
        <v>293</v>
      </c>
      <c r="D117" s="62" t="s">
        <v>79</v>
      </c>
      <c r="E117" s="4" t="str">
        <f t="shared" si="1"/>
        <v>R</v>
      </c>
      <c r="F117" s="4" t="str">
        <f t="shared" si="2"/>
        <v>午餐一份</v>
      </c>
    </row>
    <row r="118">
      <c r="A118" s="9">
        <v>117.0</v>
      </c>
      <c r="B118" s="133" t="s">
        <v>59</v>
      </c>
      <c r="C118" s="34" t="s">
        <v>293</v>
      </c>
      <c r="D118" s="62" t="s">
        <v>79</v>
      </c>
      <c r="E118" s="4" t="str">
        <f t="shared" si="1"/>
        <v>R</v>
      </c>
      <c r="F118" s="4" t="str">
        <f t="shared" si="2"/>
        <v>午餐一份</v>
      </c>
    </row>
    <row r="119">
      <c r="A119" s="9">
        <v>118.0</v>
      </c>
      <c r="B119" s="133" t="s">
        <v>59</v>
      </c>
      <c r="C119" s="34" t="s">
        <v>293</v>
      </c>
      <c r="D119" s="62" t="s">
        <v>79</v>
      </c>
      <c r="E119" s="4" t="str">
        <f t="shared" si="1"/>
        <v>R</v>
      </c>
      <c r="F119" s="4" t="str">
        <f t="shared" si="2"/>
        <v>午餐一份</v>
      </c>
    </row>
    <row r="120">
      <c r="A120" s="9">
        <v>119.0</v>
      </c>
      <c r="B120" s="40" t="s">
        <v>61</v>
      </c>
      <c r="C120" s="75"/>
      <c r="D120" s="40" t="s">
        <v>79</v>
      </c>
      <c r="E120" s="4" t="str">
        <f t="shared" si="1"/>
        <v>R</v>
      </c>
      <c r="F120" s="4" t="str">
        <f t="shared" si="2"/>
        <v>午餐一份</v>
      </c>
    </row>
    <row r="121">
      <c r="A121" s="9">
        <v>120.0</v>
      </c>
      <c r="B121" s="40" t="s">
        <v>61</v>
      </c>
      <c r="C121" s="81"/>
      <c r="D121" s="40" t="s">
        <v>79</v>
      </c>
      <c r="E121" s="4" t="str">
        <f t="shared" si="1"/>
        <v>R</v>
      </c>
      <c r="F121" s="4" t="str">
        <f t="shared" si="2"/>
        <v>午餐一份</v>
      </c>
    </row>
    <row r="122">
      <c r="A122" s="9">
        <v>121.0</v>
      </c>
      <c r="B122" s="40" t="s">
        <v>61</v>
      </c>
      <c r="C122" s="81"/>
      <c r="D122" s="40" t="s">
        <v>79</v>
      </c>
      <c r="E122" s="4" t="str">
        <f t="shared" si="1"/>
        <v>R</v>
      </c>
      <c r="F122" s="4" t="str">
        <f t="shared" si="2"/>
        <v>午餐一份</v>
      </c>
    </row>
    <row r="123">
      <c r="A123" s="9">
        <v>122.0</v>
      </c>
      <c r="B123" s="40" t="s">
        <v>61</v>
      </c>
      <c r="C123" s="81"/>
      <c r="D123" s="40" t="s">
        <v>79</v>
      </c>
      <c r="E123" s="4" t="str">
        <f t="shared" si="1"/>
        <v>R</v>
      </c>
      <c r="F123" s="4" t="str">
        <f t="shared" si="2"/>
        <v>午餐一份</v>
      </c>
    </row>
    <row r="124">
      <c r="A124" s="9">
        <v>123.0</v>
      </c>
      <c r="B124" s="40" t="s">
        <v>61</v>
      </c>
      <c r="C124" s="81"/>
      <c r="D124" s="40" t="s">
        <v>79</v>
      </c>
      <c r="E124" s="4" t="str">
        <f t="shared" si="1"/>
        <v>R</v>
      </c>
      <c r="F124" s="4" t="str">
        <f t="shared" si="2"/>
        <v>午餐一份</v>
      </c>
    </row>
    <row r="125">
      <c r="A125" s="9">
        <v>124.0</v>
      </c>
      <c r="B125" s="62" t="s">
        <v>62</v>
      </c>
      <c r="C125" s="90"/>
      <c r="D125" s="62" t="s">
        <v>79</v>
      </c>
      <c r="E125" s="4" t="str">
        <f t="shared" si="1"/>
        <v>R</v>
      </c>
      <c r="F125" s="4" t="str">
        <f t="shared" si="2"/>
        <v>午餐一份</v>
      </c>
    </row>
    <row r="126">
      <c r="A126" s="9">
        <v>125.0</v>
      </c>
      <c r="B126" s="62" t="s">
        <v>62</v>
      </c>
      <c r="C126" s="90"/>
      <c r="D126" s="62" t="s">
        <v>79</v>
      </c>
      <c r="E126" s="4" t="str">
        <f t="shared" si="1"/>
        <v>R</v>
      </c>
      <c r="F126" s="4" t="str">
        <f t="shared" si="2"/>
        <v>午餐一份</v>
      </c>
    </row>
    <row r="127">
      <c r="A127" s="9">
        <v>126.0</v>
      </c>
      <c r="B127" s="62" t="s">
        <v>62</v>
      </c>
      <c r="C127" s="90"/>
      <c r="D127" s="62" t="s">
        <v>79</v>
      </c>
      <c r="E127" s="4" t="str">
        <f t="shared" si="1"/>
        <v>R</v>
      </c>
      <c r="F127" s="4" t="str">
        <f t="shared" si="2"/>
        <v>午餐一份</v>
      </c>
    </row>
    <row r="128">
      <c r="A128" s="9">
        <v>127.0</v>
      </c>
      <c r="B128" s="62" t="s">
        <v>62</v>
      </c>
      <c r="C128" s="90"/>
      <c r="D128" s="62" t="s">
        <v>79</v>
      </c>
      <c r="E128" s="4" t="str">
        <f t="shared" si="1"/>
        <v>R</v>
      </c>
      <c r="F128" s="4" t="str">
        <f t="shared" si="2"/>
        <v>午餐一份</v>
      </c>
    </row>
    <row r="129">
      <c r="A129" s="9">
        <v>128.0</v>
      </c>
      <c r="B129" s="62" t="s">
        <v>62</v>
      </c>
      <c r="C129" s="90"/>
      <c r="D129" s="62" t="s">
        <v>79</v>
      </c>
      <c r="E129" s="4" t="str">
        <f t="shared" si="1"/>
        <v>R</v>
      </c>
      <c r="F129" s="4" t="str">
        <f t="shared" si="2"/>
        <v>午餐一份</v>
      </c>
    </row>
    <row r="130">
      <c r="A130" s="9">
        <v>129.0</v>
      </c>
      <c r="B130" s="62" t="s">
        <v>62</v>
      </c>
      <c r="C130" s="90"/>
      <c r="D130" s="62" t="s">
        <v>79</v>
      </c>
      <c r="E130" s="4" t="str">
        <f t="shared" si="1"/>
        <v>R</v>
      </c>
      <c r="F130" s="4" t="str">
        <f t="shared" si="2"/>
        <v>午餐一份</v>
      </c>
    </row>
    <row r="131">
      <c r="A131" s="9">
        <v>130.0</v>
      </c>
      <c r="B131" s="133" t="s">
        <v>65</v>
      </c>
      <c r="C131" s="91"/>
      <c r="D131" s="62" t="s">
        <v>79</v>
      </c>
      <c r="E131" s="4" t="str">
        <f t="shared" si="1"/>
        <v>R</v>
      </c>
      <c r="F131" s="4" t="str">
        <f t="shared" si="2"/>
        <v>午餐一份</v>
      </c>
    </row>
    <row r="132">
      <c r="A132" s="9">
        <v>131.0</v>
      </c>
      <c r="B132" s="133" t="s">
        <v>65</v>
      </c>
      <c r="C132" s="91"/>
      <c r="D132" s="62" t="s">
        <v>79</v>
      </c>
      <c r="E132" s="4" t="str">
        <f t="shared" si="1"/>
        <v>R</v>
      </c>
      <c r="F132" s="4" t="str">
        <f t="shared" si="2"/>
        <v>午餐一份</v>
      </c>
    </row>
    <row r="133">
      <c r="A133" s="9">
        <v>132.0</v>
      </c>
      <c r="B133" s="133" t="s">
        <v>65</v>
      </c>
      <c r="C133" s="91"/>
      <c r="D133" s="62" t="s">
        <v>79</v>
      </c>
      <c r="E133" s="4" t="str">
        <f t="shared" si="1"/>
        <v>R</v>
      </c>
      <c r="F133" s="4" t="str">
        <f t="shared" si="2"/>
        <v>午餐一份</v>
      </c>
    </row>
    <row r="134">
      <c r="A134" s="9">
        <v>133.0</v>
      </c>
      <c r="B134" s="133" t="s">
        <v>65</v>
      </c>
      <c r="C134" s="91"/>
      <c r="D134" s="62" t="s">
        <v>79</v>
      </c>
      <c r="E134" s="4" t="str">
        <f t="shared" si="1"/>
        <v>R</v>
      </c>
      <c r="F134" s="4" t="str">
        <f t="shared" si="2"/>
        <v>午餐一份</v>
      </c>
    </row>
    <row r="135">
      <c r="A135" s="9">
        <v>134.0</v>
      </c>
      <c r="B135" s="133" t="s">
        <v>65</v>
      </c>
      <c r="C135" s="91"/>
      <c r="D135" s="62" t="s">
        <v>79</v>
      </c>
      <c r="E135" s="4" t="str">
        <f t="shared" si="1"/>
        <v>R</v>
      </c>
      <c r="F135" s="4" t="str">
        <f t="shared" si="2"/>
        <v>午餐一份</v>
      </c>
    </row>
    <row r="136">
      <c r="A136" s="9">
        <v>135.0</v>
      </c>
      <c r="B136" s="133" t="s">
        <v>65</v>
      </c>
      <c r="C136" s="91"/>
      <c r="D136" s="62" t="s">
        <v>79</v>
      </c>
      <c r="E136" s="4" t="str">
        <f t="shared" si="1"/>
        <v>R</v>
      </c>
      <c r="F136" s="4" t="str">
        <f t="shared" si="2"/>
        <v>午餐一份</v>
      </c>
    </row>
    <row r="137">
      <c r="A137" s="9">
        <v>136.0</v>
      </c>
      <c r="B137" s="133" t="s">
        <v>65</v>
      </c>
      <c r="C137" s="91"/>
      <c r="D137" s="62" t="s">
        <v>79</v>
      </c>
      <c r="E137" s="4" t="str">
        <f t="shared" si="1"/>
        <v>R</v>
      </c>
      <c r="F137" s="4" t="str">
        <f t="shared" si="2"/>
        <v>午餐一份</v>
      </c>
    </row>
    <row r="138">
      <c r="A138" s="9">
        <v>137.0</v>
      </c>
      <c r="B138" s="40" t="s">
        <v>66</v>
      </c>
      <c r="C138" s="75" t="s">
        <v>322</v>
      </c>
      <c r="D138" s="40" t="s">
        <v>79</v>
      </c>
      <c r="E138" s="4" t="str">
        <f t="shared" si="1"/>
        <v>R</v>
      </c>
      <c r="F138" s="4" t="str">
        <f t="shared" si="2"/>
        <v>午餐一份</v>
      </c>
    </row>
    <row r="139">
      <c r="A139" s="9">
        <v>138.0</v>
      </c>
      <c r="B139" s="40" t="s">
        <v>66</v>
      </c>
      <c r="C139" s="75" t="s">
        <v>323</v>
      </c>
      <c r="D139" s="40" t="s">
        <v>79</v>
      </c>
      <c r="E139" s="4" t="str">
        <f t="shared" si="1"/>
        <v>R</v>
      </c>
      <c r="F139" s="4" t="str">
        <f t="shared" si="2"/>
        <v>午餐一份</v>
      </c>
    </row>
    <row r="140">
      <c r="A140" s="9">
        <v>139.0</v>
      </c>
      <c r="B140" s="40" t="s">
        <v>66</v>
      </c>
      <c r="C140" s="75" t="s">
        <v>324</v>
      </c>
      <c r="D140" s="40" t="s">
        <v>79</v>
      </c>
      <c r="E140" s="4" t="str">
        <f t="shared" si="1"/>
        <v>R</v>
      </c>
      <c r="F140" s="4" t="str">
        <f t="shared" si="2"/>
        <v>午餐一份</v>
      </c>
    </row>
    <row r="141">
      <c r="A141" s="9">
        <v>140.0</v>
      </c>
      <c r="B141" s="40" t="s">
        <v>66</v>
      </c>
      <c r="C141" s="75" t="s">
        <v>325</v>
      </c>
      <c r="D141" s="40" t="s">
        <v>79</v>
      </c>
      <c r="E141" s="4" t="str">
        <f t="shared" si="1"/>
        <v>R</v>
      </c>
      <c r="F141" s="4" t="str">
        <f t="shared" si="2"/>
        <v>午餐一份</v>
      </c>
    </row>
    <row r="142">
      <c r="A142" s="9">
        <v>141.0</v>
      </c>
      <c r="B142" s="40" t="s">
        <v>66</v>
      </c>
      <c r="C142" s="75" t="s">
        <v>326</v>
      </c>
      <c r="D142" s="40" t="s">
        <v>79</v>
      </c>
      <c r="E142" s="4" t="str">
        <f t="shared" si="1"/>
        <v>R</v>
      </c>
      <c r="F142" s="4" t="str">
        <f t="shared" si="2"/>
        <v>午餐一份</v>
      </c>
    </row>
    <row r="143">
      <c r="A143" s="9">
        <v>142.0</v>
      </c>
      <c r="B143" s="40" t="s">
        <v>66</v>
      </c>
      <c r="C143" s="75" t="s">
        <v>327</v>
      </c>
      <c r="D143" s="40" t="s">
        <v>79</v>
      </c>
      <c r="E143" s="4" t="str">
        <f t="shared" si="1"/>
        <v>R</v>
      </c>
      <c r="F143" s="4" t="str">
        <f t="shared" si="2"/>
        <v>午餐一份</v>
      </c>
    </row>
    <row r="144">
      <c r="A144" s="9">
        <v>143.0</v>
      </c>
      <c r="B144" s="40" t="s">
        <v>66</v>
      </c>
      <c r="C144" s="75" t="s">
        <v>329</v>
      </c>
      <c r="D144" s="40" t="s">
        <v>79</v>
      </c>
      <c r="E144" s="4" t="str">
        <f t="shared" si="1"/>
        <v>R</v>
      </c>
      <c r="F144" s="4" t="str">
        <f t="shared" si="2"/>
        <v>午餐一份</v>
      </c>
    </row>
    <row r="145">
      <c r="A145" s="9">
        <v>144.0</v>
      </c>
      <c r="B145" s="40" t="s">
        <v>66</v>
      </c>
      <c r="C145" s="75" t="s">
        <v>330</v>
      </c>
      <c r="D145" s="40" t="s">
        <v>79</v>
      </c>
      <c r="E145" s="4" t="str">
        <f t="shared" si="1"/>
        <v>R</v>
      </c>
      <c r="F145" s="4" t="str">
        <f t="shared" si="2"/>
        <v>午餐一份</v>
      </c>
    </row>
    <row r="146">
      <c r="A146" s="9">
        <v>145.0</v>
      </c>
      <c r="B146" s="40" t="s">
        <v>66</v>
      </c>
      <c r="C146" s="75" t="s">
        <v>331</v>
      </c>
      <c r="D146" s="40" t="s">
        <v>79</v>
      </c>
      <c r="E146" s="4" t="str">
        <f t="shared" si="1"/>
        <v>R</v>
      </c>
      <c r="F146" s="4" t="str">
        <f t="shared" si="2"/>
        <v>午餐一份</v>
      </c>
    </row>
    <row r="147">
      <c r="A147" s="9">
        <v>146.0</v>
      </c>
      <c r="B147" s="40" t="s">
        <v>66</v>
      </c>
      <c r="C147" s="75" t="s">
        <v>332</v>
      </c>
      <c r="D147" s="40" t="s">
        <v>79</v>
      </c>
      <c r="E147" s="4" t="str">
        <f t="shared" si="1"/>
        <v>R</v>
      </c>
      <c r="F147" s="4" t="str">
        <f t="shared" si="2"/>
        <v>午餐一份</v>
      </c>
    </row>
    <row r="148">
      <c r="A148" s="9">
        <v>147.0</v>
      </c>
      <c r="B148" s="40" t="s">
        <v>66</v>
      </c>
      <c r="C148" s="75" t="s">
        <v>334</v>
      </c>
      <c r="D148" s="40" t="s">
        <v>79</v>
      </c>
      <c r="E148" s="4" t="str">
        <f t="shared" si="1"/>
        <v>R</v>
      </c>
      <c r="F148" s="4" t="str">
        <f t="shared" si="2"/>
        <v>午餐一份</v>
      </c>
    </row>
    <row r="149">
      <c r="A149" s="9">
        <v>148.0</v>
      </c>
      <c r="B149" s="40" t="s">
        <v>66</v>
      </c>
      <c r="C149" s="75" t="s">
        <v>335</v>
      </c>
      <c r="D149" s="40" t="s">
        <v>79</v>
      </c>
      <c r="E149" s="4" t="str">
        <f t="shared" si="1"/>
        <v>R</v>
      </c>
      <c r="F149" s="4" t="str">
        <f t="shared" si="2"/>
        <v>午餐一份</v>
      </c>
    </row>
    <row r="150">
      <c r="A150" s="9">
        <v>149.0</v>
      </c>
      <c r="B150" s="40" t="s">
        <v>66</v>
      </c>
      <c r="C150" s="75" t="s">
        <v>337</v>
      </c>
      <c r="D150" s="40" t="s">
        <v>79</v>
      </c>
      <c r="E150" s="4" t="str">
        <f t="shared" si="1"/>
        <v>R</v>
      </c>
      <c r="F150" s="4" t="str">
        <f t="shared" si="2"/>
        <v>午餐一份</v>
      </c>
    </row>
    <row r="151">
      <c r="A151" s="9">
        <v>150.0</v>
      </c>
      <c r="B151" s="40" t="s">
        <v>66</v>
      </c>
      <c r="C151" s="75" t="s">
        <v>338</v>
      </c>
      <c r="D151" s="40" t="s">
        <v>79</v>
      </c>
      <c r="E151" s="4" t="str">
        <f t="shared" si="1"/>
        <v>R</v>
      </c>
      <c r="F151" s="4" t="str">
        <f t="shared" si="2"/>
        <v>午餐一份</v>
      </c>
    </row>
    <row r="152">
      <c r="A152" s="9">
        <v>151.0</v>
      </c>
      <c r="B152" s="62" t="s">
        <v>71</v>
      </c>
      <c r="C152" s="90"/>
      <c r="D152" s="62" t="s">
        <v>79</v>
      </c>
      <c r="E152" s="4" t="str">
        <f t="shared" si="1"/>
        <v>R</v>
      </c>
      <c r="F152" s="4" t="str">
        <f t="shared" si="2"/>
        <v>午餐一份</v>
      </c>
    </row>
    <row r="153">
      <c r="A153" s="9">
        <v>152.0</v>
      </c>
      <c r="B153" s="62" t="s">
        <v>71</v>
      </c>
      <c r="C153" s="90"/>
      <c r="D153" s="62" t="s">
        <v>79</v>
      </c>
      <c r="E153" s="4" t="str">
        <f t="shared" si="1"/>
        <v>R</v>
      </c>
      <c r="F153" s="4" t="str">
        <f t="shared" si="2"/>
        <v>午餐一份</v>
      </c>
    </row>
    <row r="154">
      <c r="A154" s="9">
        <v>153.0</v>
      </c>
      <c r="B154" s="62" t="s">
        <v>71</v>
      </c>
      <c r="C154" s="90"/>
      <c r="D154" s="62" t="s">
        <v>79</v>
      </c>
      <c r="E154" s="4" t="str">
        <f t="shared" si="1"/>
        <v>R</v>
      </c>
      <c r="F154" s="4" t="str">
        <f t="shared" si="2"/>
        <v>午餐一份</v>
      </c>
    </row>
    <row r="155">
      <c r="A155" s="9">
        <v>154.0</v>
      </c>
      <c r="B155" s="62" t="s">
        <v>71</v>
      </c>
      <c r="C155" s="90"/>
      <c r="D155" s="62" t="s">
        <v>79</v>
      </c>
      <c r="E155" s="4" t="str">
        <f t="shared" si="1"/>
        <v>R</v>
      </c>
      <c r="F155" s="4" t="str">
        <f t="shared" si="2"/>
        <v>午餐一份</v>
      </c>
    </row>
    <row r="156">
      <c r="A156" s="9">
        <v>155.0</v>
      </c>
      <c r="B156" s="62" t="s">
        <v>71</v>
      </c>
      <c r="C156" s="90"/>
      <c r="D156" s="62" t="s">
        <v>79</v>
      </c>
      <c r="E156" s="4" t="str">
        <f t="shared" si="1"/>
        <v>R</v>
      </c>
      <c r="F156" s="4" t="str">
        <f t="shared" si="2"/>
        <v>午餐一份</v>
      </c>
    </row>
    <row r="157">
      <c r="A157" s="9">
        <v>156.0</v>
      </c>
      <c r="B157" s="62" t="s">
        <v>71</v>
      </c>
      <c r="C157" s="90"/>
      <c r="D157" s="62" t="s">
        <v>79</v>
      </c>
      <c r="E157" s="4" t="str">
        <f t="shared" si="1"/>
        <v>R</v>
      </c>
      <c r="F157" s="4" t="str">
        <f t="shared" si="2"/>
        <v>午餐一份</v>
      </c>
    </row>
    <row r="158">
      <c r="A158" s="9">
        <v>157.0</v>
      </c>
      <c r="B158" s="40" t="s">
        <v>72</v>
      </c>
      <c r="C158" s="81"/>
      <c r="D158" s="40" t="s">
        <v>79</v>
      </c>
      <c r="E158" s="4" t="str">
        <f t="shared" si="1"/>
        <v>R</v>
      </c>
      <c r="F158" s="4" t="str">
        <f t="shared" si="2"/>
        <v>午餐一份</v>
      </c>
    </row>
    <row r="159">
      <c r="A159" s="9">
        <v>158.0</v>
      </c>
      <c r="B159" s="40" t="s">
        <v>72</v>
      </c>
      <c r="C159" s="81"/>
      <c r="D159" s="40" t="s">
        <v>79</v>
      </c>
      <c r="E159" s="4" t="str">
        <f t="shared" si="1"/>
        <v>R</v>
      </c>
      <c r="F159" s="4" t="str">
        <f t="shared" si="2"/>
        <v>午餐一份</v>
      </c>
    </row>
    <row r="160">
      <c r="A160" s="9">
        <v>159.0</v>
      </c>
      <c r="B160" s="40" t="s">
        <v>72</v>
      </c>
      <c r="C160" s="81"/>
      <c r="D160" s="40" t="s">
        <v>79</v>
      </c>
      <c r="E160" s="4" t="str">
        <f t="shared" si="1"/>
        <v>R</v>
      </c>
      <c r="F160" s="4" t="str">
        <f t="shared" si="2"/>
        <v>午餐一份</v>
      </c>
    </row>
    <row r="161">
      <c r="A161" s="9">
        <v>160.0</v>
      </c>
      <c r="B161" s="40" t="s">
        <v>72</v>
      </c>
      <c r="C161" s="81"/>
      <c r="D161" s="40" t="s">
        <v>79</v>
      </c>
      <c r="E161" s="4" t="str">
        <f t="shared" si="1"/>
        <v>R</v>
      </c>
      <c r="F161" s="4" t="str">
        <f t="shared" si="2"/>
        <v>午餐一份</v>
      </c>
    </row>
    <row r="162">
      <c r="A162" s="9">
        <v>161.0</v>
      </c>
      <c r="B162" s="40" t="s">
        <v>72</v>
      </c>
      <c r="C162" s="81"/>
      <c r="D162" s="40" t="s">
        <v>79</v>
      </c>
      <c r="E162" s="4" t="str">
        <f t="shared" si="1"/>
        <v>R</v>
      </c>
      <c r="F162" s="4" t="str">
        <f t="shared" si="2"/>
        <v>午餐一份</v>
      </c>
    </row>
    <row r="163">
      <c r="A163" s="9">
        <v>162.0</v>
      </c>
      <c r="B163" s="40" t="s">
        <v>72</v>
      </c>
      <c r="C163" s="81"/>
      <c r="D163" s="40" t="s">
        <v>79</v>
      </c>
      <c r="E163" s="4" t="str">
        <f t="shared" si="1"/>
        <v>R</v>
      </c>
      <c r="F163" s="4" t="str">
        <f t="shared" si="2"/>
        <v>午餐一份</v>
      </c>
    </row>
    <row r="164">
      <c r="A164" s="9">
        <v>163.0</v>
      </c>
      <c r="B164" s="20" t="s">
        <v>75</v>
      </c>
      <c r="C164" s="60"/>
      <c r="D164" s="20" t="s">
        <v>79</v>
      </c>
      <c r="E164" s="4" t="str">
        <f t="shared" si="1"/>
        <v>R</v>
      </c>
      <c r="F164" s="4" t="str">
        <f t="shared" si="2"/>
        <v>午餐一份</v>
      </c>
    </row>
    <row r="165">
      <c r="A165" s="9">
        <v>164.0</v>
      </c>
      <c r="B165" s="20" t="s">
        <v>75</v>
      </c>
      <c r="C165" s="60"/>
      <c r="D165" s="20" t="s">
        <v>79</v>
      </c>
      <c r="E165" s="4" t="str">
        <f t="shared" si="1"/>
        <v>R</v>
      </c>
      <c r="F165" s="4" t="str">
        <f t="shared" si="2"/>
        <v>午餐一份</v>
      </c>
    </row>
    <row r="166">
      <c r="A166" s="9">
        <v>165.0</v>
      </c>
      <c r="B166" s="20" t="s">
        <v>75</v>
      </c>
      <c r="C166" s="60"/>
      <c r="D166" s="20" t="s">
        <v>79</v>
      </c>
      <c r="E166" s="4" t="str">
        <f t="shared" si="1"/>
        <v>R</v>
      </c>
      <c r="F166" s="4" t="str">
        <f t="shared" si="2"/>
        <v>午餐一份</v>
      </c>
    </row>
    <row r="167">
      <c r="A167" s="9">
        <v>166.0</v>
      </c>
      <c r="B167" s="20" t="s">
        <v>75</v>
      </c>
      <c r="C167" s="60"/>
      <c r="D167" s="20" t="s">
        <v>79</v>
      </c>
      <c r="E167" s="4" t="str">
        <f t="shared" si="1"/>
        <v>R</v>
      </c>
      <c r="F167" s="4" t="str">
        <f t="shared" si="2"/>
        <v>午餐一份</v>
      </c>
    </row>
    <row r="168">
      <c r="A168" s="9">
        <v>167.0</v>
      </c>
      <c r="B168" s="20" t="s">
        <v>75</v>
      </c>
      <c r="C168" s="60"/>
      <c r="D168" s="20" t="s">
        <v>79</v>
      </c>
      <c r="E168" s="4" t="str">
        <f t="shared" si="1"/>
        <v>R</v>
      </c>
      <c r="F168" s="4" t="str">
        <f t="shared" si="2"/>
        <v>午餐一份</v>
      </c>
    </row>
    <row r="169">
      <c r="A169" s="9">
        <v>168.0</v>
      </c>
      <c r="B169" s="40" t="s">
        <v>77</v>
      </c>
      <c r="C169" s="81"/>
      <c r="D169" s="40" t="s">
        <v>79</v>
      </c>
      <c r="E169" s="4" t="str">
        <f t="shared" si="1"/>
        <v>R</v>
      </c>
      <c r="F169" s="4" t="str">
        <f t="shared" si="2"/>
        <v>午餐一份</v>
      </c>
    </row>
    <row r="170">
      <c r="A170" s="9">
        <v>169.0</v>
      </c>
      <c r="B170" s="40" t="s">
        <v>77</v>
      </c>
      <c r="C170" s="81"/>
      <c r="D170" s="40" t="s">
        <v>79</v>
      </c>
      <c r="E170" s="4" t="str">
        <f t="shared" si="1"/>
        <v>R</v>
      </c>
      <c r="F170" s="4" t="str">
        <f t="shared" si="2"/>
        <v>午餐一份</v>
      </c>
    </row>
    <row r="171">
      <c r="A171" s="9">
        <v>170.0</v>
      </c>
      <c r="B171" s="40" t="s">
        <v>77</v>
      </c>
      <c r="C171" s="81"/>
      <c r="D171" s="40" t="s">
        <v>79</v>
      </c>
      <c r="E171" s="4" t="str">
        <f t="shared" si="1"/>
        <v>R</v>
      </c>
      <c r="F171" s="4" t="str">
        <f t="shared" si="2"/>
        <v>午餐一份</v>
      </c>
    </row>
    <row r="172">
      <c r="A172" s="9">
        <v>171.0</v>
      </c>
      <c r="B172" s="40" t="s">
        <v>77</v>
      </c>
      <c r="C172" s="81"/>
      <c r="D172" s="40" t="s">
        <v>79</v>
      </c>
      <c r="E172" s="4" t="str">
        <f t="shared" si="1"/>
        <v>R</v>
      </c>
      <c r="F172" s="4" t="str">
        <f t="shared" si="2"/>
        <v>午餐一份</v>
      </c>
    </row>
    <row r="173">
      <c r="A173" s="9">
        <v>172.0</v>
      </c>
      <c r="B173" s="40" t="s">
        <v>77</v>
      </c>
      <c r="C173" s="81"/>
      <c r="D173" s="40" t="s">
        <v>79</v>
      </c>
      <c r="E173" s="4" t="str">
        <f t="shared" si="1"/>
        <v>R</v>
      </c>
      <c r="F173" s="4" t="str">
        <f t="shared" si="2"/>
        <v>午餐一份</v>
      </c>
    </row>
    <row r="174">
      <c r="A174" s="9">
        <v>173.0</v>
      </c>
      <c r="B174" s="20" t="s">
        <v>80</v>
      </c>
      <c r="C174" s="34" t="s">
        <v>353</v>
      </c>
      <c r="D174" s="87" t="s">
        <v>79</v>
      </c>
      <c r="E174" s="4" t="str">
        <f t="shared" si="1"/>
        <v>R</v>
      </c>
      <c r="F174" s="4" t="str">
        <f t="shared" si="2"/>
        <v>午餐一份</v>
      </c>
    </row>
    <row r="175">
      <c r="A175" s="9">
        <v>174.0</v>
      </c>
      <c r="B175" s="20" t="s">
        <v>80</v>
      </c>
      <c r="C175" s="34" t="s">
        <v>356</v>
      </c>
      <c r="D175" s="20" t="s">
        <v>92</v>
      </c>
      <c r="E175" s="4" t="str">
        <f t="shared" si="1"/>
        <v>D</v>
      </c>
      <c r="F175" s="4" t="str">
        <f t="shared" si="2"/>
        <v>D 素飯</v>
      </c>
    </row>
    <row r="176">
      <c r="A176" s="9">
        <v>175.0</v>
      </c>
      <c r="B176" s="40" t="s">
        <v>81</v>
      </c>
      <c r="C176" s="171" t="s">
        <v>357</v>
      </c>
      <c r="D176" s="40" t="s">
        <v>79</v>
      </c>
      <c r="E176" s="4" t="str">
        <f t="shared" si="1"/>
        <v>R</v>
      </c>
      <c r="F176" s="4" t="str">
        <f t="shared" si="2"/>
        <v>午餐一份</v>
      </c>
    </row>
    <row r="177">
      <c r="A177" s="9">
        <v>176.0</v>
      </c>
      <c r="B177" s="40" t="s">
        <v>81</v>
      </c>
      <c r="C177" s="171" t="s">
        <v>361</v>
      </c>
      <c r="D177" s="40" t="s">
        <v>79</v>
      </c>
      <c r="E177" s="4" t="str">
        <f t="shared" si="1"/>
        <v>R</v>
      </c>
      <c r="F177" s="4" t="str">
        <f t="shared" si="2"/>
        <v>午餐一份</v>
      </c>
    </row>
    <row r="178">
      <c r="A178" s="9">
        <v>177.0</v>
      </c>
      <c r="B178" s="40" t="s">
        <v>81</v>
      </c>
      <c r="C178" s="171" t="s">
        <v>362</v>
      </c>
      <c r="D178" s="40" t="s">
        <v>79</v>
      </c>
      <c r="E178" s="4" t="str">
        <f t="shared" si="1"/>
        <v>R</v>
      </c>
      <c r="F178" s="4" t="str">
        <f t="shared" si="2"/>
        <v>午餐一份</v>
      </c>
    </row>
    <row r="179">
      <c r="A179" s="9">
        <v>178.0</v>
      </c>
      <c r="B179" s="40" t="s">
        <v>81</v>
      </c>
      <c r="C179" s="171" t="s">
        <v>364</v>
      </c>
      <c r="D179" s="40" t="s">
        <v>79</v>
      </c>
      <c r="E179" s="4" t="str">
        <f t="shared" si="1"/>
        <v>R</v>
      </c>
      <c r="F179" s="4" t="str">
        <f t="shared" si="2"/>
        <v>午餐一份</v>
      </c>
    </row>
    <row r="180">
      <c r="A180" s="9">
        <v>179.0</v>
      </c>
      <c r="B180" s="40" t="s">
        <v>81</v>
      </c>
      <c r="C180" s="75" t="s">
        <v>365</v>
      </c>
      <c r="D180" s="40" t="s">
        <v>79</v>
      </c>
      <c r="E180" s="4" t="str">
        <f t="shared" si="1"/>
        <v>R</v>
      </c>
      <c r="F180" s="4" t="str">
        <f t="shared" si="2"/>
        <v>午餐一份</v>
      </c>
    </row>
    <row r="181">
      <c r="A181" s="9">
        <v>180.0</v>
      </c>
      <c r="B181" s="40" t="s">
        <v>81</v>
      </c>
      <c r="C181" s="75" t="s">
        <v>366</v>
      </c>
      <c r="D181" s="40" t="s">
        <v>79</v>
      </c>
      <c r="E181" s="4" t="str">
        <f t="shared" si="1"/>
        <v>R</v>
      </c>
      <c r="F181" s="4" t="str">
        <f t="shared" si="2"/>
        <v>午餐一份</v>
      </c>
    </row>
    <row r="182">
      <c r="A182" s="9">
        <v>181.0</v>
      </c>
      <c r="B182" s="62" t="s">
        <v>83</v>
      </c>
      <c r="C182" s="134" t="s">
        <v>368</v>
      </c>
      <c r="D182" s="62" t="s">
        <v>79</v>
      </c>
      <c r="E182" s="4" t="str">
        <f t="shared" si="1"/>
        <v>R</v>
      </c>
      <c r="F182" s="4" t="str">
        <f t="shared" si="2"/>
        <v>午餐一份</v>
      </c>
    </row>
    <row r="183">
      <c r="A183" s="9">
        <v>182.0</v>
      </c>
      <c r="B183" s="62" t="s">
        <v>83</v>
      </c>
      <c r="C183" s="134" t="s">
        <v>370</v>
      </c>
      <c r="D183" s="62" t="s">
        <v>79</v>
      </c>
      <c r="E183" s="4" t="str">
        <f t="shared" si="1"/>
        <v>R</v>
      </c>
      <c r="F183" s="4" t="str">
        <f t="shared" si="2"/>
        <v>午餐一份</v>
      </c>
    </row>
    <row r="184">
      <c r="A184" s="9">
        <v>183.0</v>
      </c>
      <c r="B184" s="62" t="s">
        <v>83</v>
      </c>
      <c r="C184" s="134" t="s">
        <v>373</v>
      </c>
      <c r="D184" s="62" t="s">
        <v>79</v>
      </c>
      <c r="E184" s="4" t="str">
        <f t="shared" si="1"/>
        <v>R</v>
      </c>
      <c r="F184" s="4" t="str">
        <f t="shared" si="2"/>
        <v>午餐一份</v>
      </c>
    </row>
    <row r="185">
      <c r="A185" s="9">
        <v>184.0</v>
      </c>
      <c r="B185" s="62" t="s">
        <v>83</v>
      </c>
      <c r="C185" s="134" t="s">
        <v>374</v>
      </c>
      <c r="D185" s="62" t="s">
        <v>79</v>
      </c>
      <c r="E185" s="4" t="str">
        <f t="shared" si="1"/>
        <v>R</v>
      </c>
      <c r="F185" s="4" t="str">
        <f t="shared" si="2"/>
        <v>午餐一份</v>
      </c>
    </row>
    <row r="186">
      <c r="A186" s="9">
        <v>185.0</v>
      </c>
      <c r="B186" s="62" t="s">
        <v>83</v>
      </c>
      <c r="C186" s="134" t="s">
        <v>376</v>
      </c>
      <c r="D186" s="62" t="s">
        <v>79</v>
      </c>
      <c r="E186" s="4" t="str">
        <f t="shared" si="1"/>
        <v>R</v>
      </c>
      <c r="F186" s="4" t="str">
        <f t="shared" si="2"/>
        <v>午餐一份</v>
      </c>
    </row>
    <row r="187">
      <c r="A187" s="9">
        <v>186.0</v>
      </c>
      <c r="B187" s="62" t="s">
        <v>83</v>
      </c>
      <c r="C187" s="134" t="s">
        <v>378</v>
      </c>
      <c r="D187" s="62" t="s">
        <v>79</v>
      </c>
      <c r="E187" s="4" t="str">
        <f t="shared" si="1"/>
        <v>R</v>
      </c>
      <c r="F187" s="4" t="str">
        <f t="shared" si="2"/>
        <v>午餐一份</v>
      </c>
    </row>
    <row r="188">
      <c r="A188" s="9">
        <v>187.0</v>
      </c>
      <c r="B188" s="40" t="s">
        <v>87</v>
      </c>
      <c r="C188" s="75" t="s">
        <v>379</v>
      </c>
      <c r="D188" s="40" t="s">
        <v>92</v>
      </c>
      <c r="E188" s="4" t="str">
        <f t="shared" si="1"/>
        <v>D</v>
      </c>
      <c r="F188" s="4" t="str">
        <f t="shared" si="2"/>
        <v>D 素飯</v>
      </c>
    </row>
    <row r="189">
      <c r="A189" s="9">
        <v>188.0</v>
      </c>
      <c r="B189" s="40" t="s">
        <v>87</v>
      </c>
      <c r="C189" s="81"/>
      <c r="D189" s="40" t="s">
        <v>79</v>
      </c>
      <c r="E189" s="4" t="str">
        <f t="shared" si="1"/>
        <v>R</v>
      </c>
      <c r="F189" s="4" t="str">
        <f t="shared" si="2"/>
        <v>午餐一份</v>
      </c>
    </row>
    <row r="190">
      <c r="A190" s="9">
        <v>189.0</v>
      </c>
      <c r="B190" s="40" t="s">
        <v>87</v>
      </c>
      <c r="C190" s="81"/>
      <c r="D190" s="40" t="s">
        <v>79</v>
      </c>
      <c r="E190" s="4" t="str">
        <f t="shared" si="1"/>
        <v>R</v>
      </c>
      <c r="F190" s="4" t="str">
        <f t="shared" si="2"/>
        <v>午餐一份</v>
      </c>
    </row>
    <row r="191">
      <c r="A191" s="9">
        <v>190.0</v>
      </c>
      <c r="B191" s="40" t="s">
        <v>87</v>
      </c>
      <c r="C191" s="81"/>
      <c r="D191" s="40" t="s">
        <v>79</v>
      </c>
      <c r="E191" s="4" t="str">
        <f t="shared" si="1"/>
        <v>R</v>
      </c>
      <c r="F191" s="4" t="str">
        <f t="shared" si="2"/>
        <v>午餐一份</v>
      </c>
    </row>
    <row r="192">
      <c r="A192" s="9">
        <v>191.0</v>
      </c>
      <c r="B192" s="40" t="s">
        <v>87</v>
      </c>
      <c r="C192" s="81"/>
      <c r="D192" s="40" t="s">
        <v>79</v>
      </c>
      <c r="E192" s="4" t="str">
        <f t="shared" si="1"/>
        <v>R</v>
      </c>
      <c r="F192" s="4" t="str">
        <f t="shared" si="2"/>
        <v>午餐一份</v>
      </c>
    </row>
    <row r="193">
      <c r="A193" s="9">
        <v>192.0</v>
      </c>
      <c r="B193" s="40" t="s">
        <v>87</v>
      </c>
      <c r="C193" s="81"/>
      <c r="D193" s="40" t="s">
        <v>79</v>
      </c>
      <c r="E193" s="4" t="str">
        <f t="shared" si="1"/>
        <v>R</v>
      </c>
      <c r="F193" s="4" t="str">
        <f t="shared" si="2"/>
        <v>午餐一份</v>
      </c>
    </row>
    <row r="194">
      <c r="A194" s="9">
        <v>193.0</v>
      </c>
      <c r="B194" s="62" t="s">
        <v>91</v>
      </c>
      <c r="C194" s="134" t="s">
        <v>385</v>
      </c>
      <c r="D194" s="62" t="s">
        <v>79</v>
      </c>
      <c r="E194" s="4" t="str">
        <f t="shared" si="1"/>
        <v>R</v>
      </c>
      <c r="F194" s="4" t="str">
        <f t="shared" si="2"/>
        <v>午餐一份</v>
      </c>
    </row>
    <row r="195">
      <c r="A195" s="9">
        <v>194.0</v>
      </c>
      <c r="B195" s="62" t="s">
        <v>91</v>
      </c>
      <c r="C195" s="134" t="s">
        <v>387</v>
      </c>
      <c r="D195" s="62" t="s">
        <v>79</v>
      </c>
      <c r="E195" s="4" t="str">
        <f t="shared" si="1"/>
        <v>R</v>
      </c>
      <c r="F195" s="4" t="str">
        <f t="shared" si="2"/>
        <v>午餐一份</v>
      </c>
    </row>
    <row r="196">
      <c r="A196" s="9">
        <v>195.0</v>
      </c>
      <c r="B196" s="62" t="s">
        <v>91</v>
      </c>
      <c r="C196" s="134" t="s">
        <v>388</v>
      </c>
      <c r="D196" s="62" t="s">
        <v>79</v>
      </c>
      <c r="E196" s="4" t="str">
        <f t="shared" si="1"/>
        <v>R</v>
      </c>
      <c r="F196" s="4" t="str">
        <f t="shared" si="2"/>
        <v>午餐一份</v>
      </c>
    </row>
    <row r="197">
      <c r="A197" s="9">
        <v>196.0</v>
      </c>
      <c r="B197" s="62" t="s">
        <v>91</v>
      </c>
      <c r="C197" s="134" t="s">
        <v>390</v>
      </c>
      <c r="D197" s="62" t="s">
        <v>79</v>
      </c>
      <c r="E197" s="4" t="str">
        <f t="shared" si="1"/>
        <v>R</v>
      </c>
      <c r="F197" s="4" t="str">
        <f t="shared" si="2"/>
        <v>午餐一份</v>
      </c>
    </row>
    <row r="198">
      <c r="A198" s="9">
        <v>197.0</v>
      </c>
      <c r="B198" s="62" t="s">
        <v>91</v>
      </c>
      <c r="C198" s="134" t="s">
        <v>391</v>
      </c>
      <c r="D198" s="62" t="s">
        <v>79</v>
      </c>
      <c r="E198" s="4" t="str">
        <f t="shared" si="1"/>
        <v>R</v>
      </c>
      <c r="F198" s="4" t="str">
        <f t="shared" si="2"/>
        <v>午餐一份</v>
      </c>
    </row>
    <row r="199">
      <c r="A199" s="9">
        <v>198.0</v>
      </c>
      <c r="B199" s="62" t="s">
        <v>91</v>
      </c>
      <c r="C199" s="134" t="s">
        <v>392</v>
      </c>
      <c r="D199" s="62" t="s">
        <v>79</v>
      </c>
      <c r="E199" s="4" t="str">
        <f t="shared" si="1"/>
        <v>R</v>
      </c>
      <c r="F199" s="4" t="str">
        <f t="shared" si="2"/>
        <v>午餐一份</v>
      </c>
    </row>
    <row r="200">
      <c r="A200" s="9">
        <v>199.0</v>
      </c>
      <c r="B200" s="62" t="s">
        <v>91</v>
      </c>
      <c r="C200" s="134" t="s">
        <v>394</v>
      </c>
      <c r="D200" s="62" t="s">
        <v>79</v>
      </c>
      <c r="E200" s="4" t="str">
        <f t="shared" si="1"/>
        <v>R</v>
      </c>
      <c r="F200" s="4" t="str">
        <f t="shared" si="2"/>
        <v>午餐一份</v>
      </c>
    </row>
    <row r="201">
      <c r="A201" s="9">
        <v>200.0</v>
      </c>
      <c r="B201" s="62" t="s">
        <v>91</v>
      </c>
      <c r="C201" s="134" t="s">
        <v>395</v>
      </c>
      <c r="D201" s="62" t="s">
        <v>79</v>
      </c>
      <c r="E201" s="4" t="str">
        <f t="shared" si="1"/>
        <v>R</v>
      </c>
      <c r="F201" s="4" t="str">
        <f t="shared" si="2"/>
        <v>午餐一份</v>
      </c>
    </row>
    <row r="202">
      <c r="A202" s="9">
        <v>201.0</v>
      </c>
      <c r="B202" s="62" t="s">
        <v>91</v>
      </c>
      <c r="C202" s="134" t="s">
        <v>396</v>
      </c>
      <c r="D202" s="62" t="s">
        <v>79</v>
      </c>
      <c r="E202" s="4" t="str">
        <f t="shared" si="1"/>
        <v>R</v>
      </c>
      <c r="F202" s="4" t="str">
        <f t="shared" si="2"/>
        <v>午餐一份</v>
      </c>
    </row>
    <row r="203">
      <c r="A203" s="9">
        <v>202.0</v>
      </c>
      <c r="B203" s="62" t="s">
        <v>91</v>
      </c>
      <c r="C203" s="134" t="s">
        <v>397</v>
      </c>
      <c r="D203" s="62" t="s">
        <v>79</v>
      </c>
      <c r="E203" s="4" t="str">
        <f t="shared" si="1"/>
        <v>R</v>
      </c>
      <c r="F203" s="4" t="str">
        <f t="shared" si="2"/>
        <v>午餐一份</v>
      </c>
    </row>
    <row r="204">
      <c r="A204" s="9">
        <v>203.0</v>
      </c>
      <c r="B204" s="62" t="s">
        <v>91</v>
      </c>
      <c r="C204" s="134" t="s">
        <v>398</v>
      </c>
      <c r="D204" s="62" t="s">
        <v>79</v>
      </c>
      <c r="E204" s="4" t="str">
        <f t="shared" si="1"/>
        <v>R</v>
      </c>
      <c r="F204" s="4" t="str">
        <f t="shared" si="2"/>
        <v>午餐一份</v>
      </c>
    </row>
    <row r="205">
      <c r="A205" s="9">
        <v>204.0</v>
      </c>
      <c r="B205" s="62" t="s">
        <v>91</v>
      </c>
      <c r="C205" s="134" t="s">
        <v>399</v>
      </c>
      <c r="D205" s="62" t="s">
        <v>79</v>
      </c>
      <c r="E205" s="4" t="str">
        <f t="shared" si="1"/>
        <v>R</v>
      </c>
      <c r="F205" s="4" t="str">
        <f t="shared" si="2"/>
        <v>午餐一份</v>
      </c>
    </row>
    <row r="206">
      <c r="A206" s="9">
        <v>205.0</v>
      </c>
      <c r="B206" s="62" t="s">
        <v>91</v>
      </c>
      <c r="C206" s="134" t="s">
        <v>400</v>
      </c>
      <c r="D206" s="62" t="s">
        <v>79</v>
      </c>
      <c r="E206" s="4" t="str">
        <f t="shared" si="1"/>
        <v>R</v>
      </c>
      <c r="F206" s="4" t="str">
        <f t="shared" si="2"/>
        <v>午餐一份</v>
      </c>
    </row>
    <row r="207">
      <c r="A207" s="9">
        <v>206.0</v>
      </c>
      <c r="B207" s="62" t="s">
        <v>91</v>
      </c>
      <c r="C207" s="134" t="s">
        <v>401</v>
      </c>
      <c r="D207" s="62" t="s">
        <v>79</v>
      </c>
      <c r="E207" s="4" t="str">
        <f t="shared" si="1"/>
        <v>R</v>
      </c>
      <c r="F207" s="4" t="str">
        <f t="shared" si="2"/>
        <v>午餐一份</v>
      </c>
    </row>
    <row r="208">
      <c r="A208" s="9">
        <v>207.0</v>
      </c>
      <c r="B208" s="62" t="s">
        <v>91</v>
      </c>
      <c r="C208" s="134" t="s">
        <v>402</v>
      </c>
      <c r="D208" s="62" t="s">
        <v>79</v>
      </c>
      <c r="E208" s="4" t="str">
        <f t="shared" si="1"/>
        <v>R</v>
      </c>
      <c r="F208" s="4" t="str">
        <f t="shared" si="2"/>
        <v>午餐一份</v>
      </c>
    </row>
    <row r="209">
      <c r="A209" s="9">
        <v>208.0</v>
      </c>
      <c r="B209" s="62" t="s">
        <v>91</v>
      </c>
      <c r="C209" s="134" t="s">
        <v>403</v>
      </c>
      <c r="D209" s="62" t="s">
        <v>79</v>
      </c>
      <c r="E209" s="4" t="str">
        <f t="shared" si="1"/>
        <v>R</v>
      </c>
      <c r="F209" s="4" t="str">
        <f t="shared" si="2"/>
        <v>午餐一份</v>
      </c>
    </row>
    <row r="210">
      <c r="A210" s="9">
        <v>209.0</v>
      </c>
      <c r="B210" s="62" t="s">
        <v>91</v>
      </c>
      <c r="C210" s="134" t="s">
        <v>404</v>
      </c>
      <c r="D210" s="62" t="s">
        <v>79</v>
      </c>
      <c r="E210" s="4" t="str">
        <f t="shared" si="1"/>
        <v>R</v>
      </c>
      <c r="F210" s="4" t="str">
        <f t="shared" si="2"/>
        <v>午餐一份</v>
      </c>
    </row>
    <row r="211">
      <c r="A211" s="9">
        <v>210.0</v>
      </c>
      <c r="B211" s="62" t="s">
        <v>91</v>
      </c>
      <c r="C211" s="134" t="s">
        <v>405</v>
      </c>
      <c r="D211" s="62" t="s">
        <v>79</v>
      </c>
      <c r="E211" s="4" t="str">
        <f t="shared" si="1"/>
        <v>R</v>
      </c>
      <c r="F211" s="4" t="str">
        <f t="shared" si="2"/>
        <v>午餐一份</v>
      </c>
    </row>
    <row r="212">
      <c r="A212" s="9">
        <v>211.0</v>
      </c>
      <c r="B212" s="62" t="s">
        <v>91</v>
      </c>
      <c r="C212" s="134" t="s">
        <v>406</v>
      </c>
      <c r="D212" s="62" t="s">
        <v>79</v>
      </c>
      <c r="E212" s="4" t="str">
        <f t="shared" si="1"/>
        <v>R</v>
      </c>
      <c r="F212" s="4" t="str">
        <f t="shared" si="2"/>
        <v>午餐一份</v>
      </c>
    </row>
    <row r="213">
      <c r="A213" s="9">
        <v>212.0</v>
      </c>
      <c r="B213" s="62" t="s">
        <v>91</v>
      </c>
      <c r="C213" s="134" t="s">
        <v>407</v>
      </c>
      <c r="D213" s="62" t="s">
        <v>79</v>
      </c>
      <c r="E213" s="4" t="str">
        <f t="shared" si="1"/>
        <v>R</v>
      </c>
      <c r="F213" s="4" t="str">
        <f t="shared" si="2"/>
        <v>午餐一份</v>
      </c>
    </row>
    <row r="214">
      <c r="A214" s="9">
        <v>213.0</v>
      </c>
      <c r="B214" s="62" t="s">
        <v>91</v>
      </c>
      <c r="C214" s="134" t="s">
        <v>408</v>
      </c>
      <c r="D214" s="62" t="s">
        <v>79</v>
      </c>
      <c r="E214" s="4" t="str">
        <f t="shared" si="1"/>
        <v>R</v>
      </c>
      <c r="F214" s="4" t="str">
        <f t="shared" si="2"/>
        <v>午餐一份</v>
      </c>
    </row>
    <row r="215">
      <c r="A215" s="9">
        <v>214.0</v>
      </c>
      <c r="B215" s="62" t="s">
        <v>91</v>
      </c>
      <c r="C215" s="134" t="s">
        <v>410</v>
      </c>
      <c r="D215" s="62" t="s">
        <v>79</v>
      </c>
      <c r="E215" s="4" t="str">
        <f t="shared" si="1"/>
        <v>R</v>
      </c>
      <c r="F215" s="4" t="str">
        <f t="shared" si="2"/>
        <v>午餐一份</v>
      </c>
    </row>
    <row r="216">
      <c r="A216" s="9">
        <v>215.0</v>
      </c>
      <c r="B216" s="62" t="s">
        <v>91</v>
      </c>
      <c r="C216" s="134" t="s">
        <v>411</v>
      </c>
      <c r="D216" s="62" t="s">
        <v>79</v>
      </c>
      <c r="E216" s="4" t="str">
        <f t="shared" si="1"/>
        <v>R</v>
      </c>
      <c r="F216" s="4" t="str">
        <f t="shared" si="2"/>
        <v>午餐一份</v>
      </c>
    </row>
    <row r="217">
      <c r="A217" s="9">
        <v>216.0</v>
      </c>
      <c r="B217" s="62" t="s">
        <v>91</v>
      </c>
      <c r="C217" s="134" t="s">
        <v>412</v>
      </c>
      <c r="D217" s="62" t="s">
        <v>79</v>
      </c>
      <c r="E217" s="4" t="str">
        <f t="shared" si="1"/>
        <v>R</v>
      </c>
      <c r="F217" s="4" t="str">
        <f t="shared" si="2"/>
        <v>午餐一份</v>
      </c>
    </row>
    <row r="218">
      <c r="A218" s="9">
        <v>217.0</v>
      </c>
      <c r="B218" s="62" t="s">
        <v>91</v>
      </c>
      <c r="C218" s="134" t="s">
        <v>413</v>
      </c>
      <c r="D218" s="62" t="s">
        <v>79</v>
      </c>
      <c r="E218" s="4" t="str">
        <f t="shared" si="1"/>
        <v>R</v>
      </c>
      <c r="F218" s="4" t="str">
        <f t="shared" si="2"/>
        <v>午餐一份</v>
      </c>
    </row>
    <row r="219">
      <c r="A219" s="9">
        <v>218.0</v>
      </c>
      <c r="B219" s="62" t="s">
        <v>91</v>
      </c>
      <c r="C219" s="134" t="s">
        <v>414</v>
      </c>
      <c r="D219" s="62" t="s">
        <v>79</v>
      </c>
      <c r="E219" s="4" t="str">
        <f t="shared" si="1"/>
        <v>R</v>
      </c>
      <c r="F219" s="4" t="str">
        <f t="shared" si="2"/>
        <v>午餐一份</v>
      </c>
    </row>
    <row r="220">
      <c r="A220" s="9">
        <v>219.0</v>
      </c>
      <c r="B220" s="62" t="s">
        <v>91</v>
      </c>
      <c r="C220" s="134" t="s">
        <v>416</v>
      </c>
      <c r="D220" s="62" t="s">
        <v>79</v>
      </c>
      <c r="E220" s="4" t="str">
        <f t="shared" si="1"/>
        <v>R</v>
      </c>
      <c r="F220" s="4" t="str">
        <f t="shared" si="2"/>
        <v>午餐一份</v>
      </c>
    </row>
    <row r="221">
      <c r="A221" s="9">
        <v>220.0</v>
      </c>
      <c r="B221" s="62" t="s">
        <v>91</v>
      </c>
      <c r="C221" s="134" t="s">
        <v>417</v>
      </c>
      <c r="D221" s="62" t="s">
        <v>79</v>
      </c>
      <c r="E221" s="4" t="str">
        <f t="shared" si="1"/>
        <v>R</v>
      </c>
      <c r="F221" s="4" t="str">
        <f t="shared" si="2"/>
        <v>午餐一份</v>
      </c>
    </row>
    <row r="222">
      <c r="A222" s="9">
        <v>221.0</v>
      </c>
      <c r="B222" s="62" t="s">
        <v>91</v>
      </c>
      <c r="C222" s="134" t="s">
        <v>418</v>
      </c>
      <c r="D222" s="62" t="s">
        <v>79</v>
      </c>
      <c r="E222" s="4" t="str">
        <f t="shared" si="1"/>
        <v>R</v>
      </c>
      <c r="F222" s="4" t="str">
        <f t="shared" si="2"/>
        <v>午餐一份</v>
      </c>
    </row>
    <row r="223">
      <c r="A223" s="9">
        <v>222.0</v>
      </c>
      <c r="B223" s="40" t="s">
        <v>93</v>
      </c>
      <c r="C223" s="32"/>
      <c r="D223" s="40" t="s">
        <v>79</v>
      </c>
      <c r="E223" s="4" t="str">
        <f t="shared" si="1"/>
        <v>R</v>
      </c>
      <c r="F223" s="4" t="str">
        <f t="shared" si="2"/>
        <v>午餐一份</v>
      </c>
    </row>
    <row r="224">
      <c r="A224" s="9">
        <v>223.0</v>
      </c>
      <c r="B224" s="40" t="s">
        <v>93</v>
      </c>
      <c r="C224" s="32"/>
      <c r="D224" s="40" t="s">
        <v>79</v>
      </c>
      <c r="E224" s="4" t="str">
        <f t="shared" si="1"/>
        <v>R</v>
      </c>
      <c r="F224" s="4" t="str">
        <f t="shared" si="2"/>
        <v>午餐一份</v>
      </c>
    </row>
    <row r="225">
      <c r="A225" s="9">
        <v>224.0</v>
      </c>
      <c r="B225" s="40" t="s">
        <v>93</v>
      </c>
      <c r="C225" s="32"/>
      <c r="D225" s="40" t="s">
        <v>79</v>
      </c>
      <c r="E225" s="4" t="str">
        <f t="shared" si="1"/>
        <v>R</v>
      </c>
      <c r="F225" s="4" t="str">
        <f t="shared" si="2"/>
        <v>午餐一份</v>
      </c>
    </row>
    <row r="226">
      <c r="A226" s="9">
        <v>225.0</v>
      </c>
      <c r="B226" s="40" t="s">
        <v>93</v>
      </c>
      <c r="C226" s="32"/>
      <c r="D226" s="40" t="s">
        <v>79</v>
      </c>
      <c r="E226" s="4" t="str">
        <f t="shared" si="1"/>
        <v>R</v>
      </c>
      <c r="F226" s="4" t="str">
        <f t="shared" si="2"/>
        <v>午餐一份</v>
      </c>
    </row>
    <row r="227">
      <c r="A227" s="9">
        <v>226.0</v>
      </c>
      <c r="B227" s="40" t="s">
        <v>93</v>
      </c>
      <c r="C227" s="32"/>
      <c r="D227" s="40" t="s">
        <v>79</v>
      </c>
      <c r="E227" s="4" t="str">
        <f t="shared" si="1"/>
        <v>R</v>
      </c>
      <c r="F227" s="4" t="str">
        <f t="shared" si="2"/>
        <v>午餐一份</v>
      </c>
    </row>
    <row r="228">
      <c r="A228" s="9">
        <v>227.0</v>
      </c>
      <c r="B228" s="40" t="s">
        <v>93</v>
      </c>
      <c r="C228" s="32"/>
      <c r="D228" s="40" t="s">
        <v>79</v>
      </c>
      <c r="E228" s="4" t="str">
        <f t="shared" si="1"/>
        <v>R</v>
      </c>
      <c r="F228" s="4" t="str">
        <f t="shared" si="2"/>
        <v>午餐一份</v>
      </c>
    </row>
    <row r="229">
      <c r="A229" s="9">
        <v>228.0</v>
      </c>
      <c r="B229" s="2" t="s">
        <v>96</v>
      </c>
      <c r="C229" s="20">
        <v>1.0</v>
      </c>
      <c r="D229" s="62" t="s">
        <v>79</v>
      </c>
      <c r="E229" s="4" t="str">
        <f t="shared" si="1"/>
        <v>R</v>
      </c>
      <c r="F229" s="4" t="str">
        <f t="shared" si="2"/>
        <v>午餐一份</v>
      </c>
    </row>
    <row r="230">
      <c r="A230" s="9">
        <v>229.0</v>
      </c>
      <c r="B230" s="2" t="s">
        <v>96</v>
      </c>
      <c r="C230" s="20">
        <v>2.0</v>
      </c>
      <c r="D230" s="62" t="s">
        <v>79</v>
      </c>
      <c r="E230" s="4" t="str">
        <f t="shared" si="1"/>
        <v>R</v>
      </c>
      <c r="F230" s="4" t="str">
        <f t="shared" si="2"/>
        <v>午餐一份</v>
      </c>
    </row>
    <row r="231">
      <c r="A231" s="9">
        <v>230.0</v>
      </c>
      <c r="B231" s="2" t="s">
        <v>96</v>
      </c>
      <c r="C231" s="20">
        <v>3.0</v>
      </c>
      <c r="D231" s="62" t="s">
        <v>79</v>
      </c>
      <c r="E231" s="4" t="str">
        <f t="shared" si="1"/>
        <v>R</v>
      </c>
      <c r="F231" s="4" t="str">
        <f t="shared" si="2"/>
        <v>午餐一份</v>
      </c>
    </row>
    <row r="232">
      <c r="A232" s="9">
        <v>231.0</v>
      </c>
      <c r="B232" s="2" t="s">
        <v>96</v>
      </c>
      <c r="C232" s="20">
        <v>4.0</v>
      </c>
      <c r="D232" s="62" t="s">
        <v>79</v>
      </c>
      <c r="E232" s="4" t="str">
        <f t="shared" si="1"/>
        <v>R</v>
      </c>
      <c r="F232" s="4" t="str">
        <f t="shared" si="2"/>
        <v>午餐一份</v>
      </c>
    </row>
    <row r="233">
      <c r="A233" s="9">
        <v>232.0</v>
      </c>
      <c r="B233" s="2" t="s">
        <v>96</v>
      </c>
      <c r="C233" s="20">
        <v>5.0</v>
      </c>
      <c r="D233" s="62" t="s">
        <v>79</v>
      </c>
      <c r="E233" s="4" t="str">
        <f t="shared" si="1"/>
        <v>R</v>
      </c>
      <c r="F233" s="4" t="str">
        <f t="shared" si="2"/>
        <v>午餐一份</v>
      </c>
    </row>
    <row r="234">
      <c r="A234" s="9">
        <v>233.0</v>
      </c>
      <c r="B234" s="2" t="s">
        <v>96</v>
      </c>
      <c r="C234" s="20">
        <v>6.0</v>
      </c>
      <c r="D234" s="62" t="s">
        <v>79</v>
      </c>
      <c r="E234" s="4" t="str">
        <f t="shared" si="1"/>
        <v>R</v>
      </c>
      <c r="F234" s="4" t="str">
        <f t="shared" si="2"/>
        <v>午餐一份</v>
      </c>
    </row>
    <row r="235">
      <c r="A235" s="9">
        <v>234.0</v>
      </c>
      <c r="B235" s="2" t="s">
        <v>96</v>
      </c>
      <c r="C235" s="20">
        <v>7.0</v>
      </c>
      <c r="D235" s="62" t="s">
        <v>79</v>
      </c>
      <c r="E235" s="4" t="str">
        <f t="shared" si="1"/>
        <v>R</v>
      </c>
      <c r="F235" s="4" t="str">
        <f t="shared" si="2"/>
        <v>午餐一份</v>
      </c>
    </row>
    <row r="236">
      <c r="A236" s="9">
        <v>235.0</v>
      </c>
      <c r="B236" s="2" t="s">
        <v>96</v>
      </c>
      <c r="C236" s="20">
        <v>8.0</v>
      </c>
      <c r="D236" s="62" t="s">
        <v>79</v>
      </c>
      <c r="E236" s="4" t="str">
        <f t="shared" si="1"/>
        <v>R</v>
      </c>
      <c r="F236" s="4" t="str">
        <f t="shared" si="2"/>
        <v>午餐一份</v>
      </c>
    </row>
    <row r="237">
      <c r="A237" s="9">
        <v>236.0</v>
      </c>
      <c r="B237" s="2" t="s">
        <v>96</v>
      </c>
      <c r="C237" s="20">
        <v>9.0</v>
      </c>
      <c r="D237" s="62" t="s">
        <v>79</v>
      </c>
      <c r="E237" s="4" t="str">
        <f t="shared" si="1"/>
        <v>R</v>
      </c>
      <c r="F237" s="4" t="str">
        <f t="shared" si="2"/>
        <v>午餐一份</v>
      </c>
    </row>
    <row r="238">
      <c r="A238" s="9">
        <v>237.0</v>
      </c>
      <c r="B238" s="2" t="s">
        <v>96</v>
      </c>
      <c r="C238" s="20">
        <v>10.0</v>
      </c>
      <c r="D238" s="62" t="s">
        <v>79</v>
      </c>
      <c r="E238" s="4" t="str">
        <f t="shared" si="1"/>
        <v>R</v>
      </c>
      <c r="F238" s="4" t="str">
        <f t="shared" si="2"/>
        <v>午餐一份</v>
      </c>
    </row>
    <row r="239">
      <c r="A239" s="9">
        <v>238.0</v>
      </c>
      <c r="B239" s="2" t="s">
        <v>96</v>
      </c>
      <c r="C239" s="20">
        <v>11.0</v>
      </c>
      <c r="D239" s="62" t="s">
        <v>79</v>
      </c>
      <c r="E239" s="4" t="str">
        <f t="shared" si="1"/>
        <v>R</v>
      </c>
      <c r="F239" s="4" t="str">
        <f t="shared" si="2"/>
        <v>午餐一份</v>
      </c>
    </row>
    <row r="240">
      <c r="A240" s="9">
        <v>239.0</v>
      </c>
      <c r="B240" s="2" t="s">
        <v>96</v>
      </c>
      <c r="C240" s="20">
        <v>12.0</v>
      </c>
      <c r="D240" s="62" t="s">
        <v>79</v>
      </c>
      <c r="E240" s="4" t="str">
        <f t="shared" si="1"/>
        <v>R</v>
      </c>
      <c r="F240" s="4" t="str">
        <f t="shared" si="2"/>
        <v>午餐一份</v>
      </c>
    </row>
    <row r="241">
      <c r="A241" s="9">
        <v>240.0</v>
      </c>
      <c r="B241" s="2" t="s">
        <v>96</v>
      </c>
      <c r="C241" s="20">
        <v>13.0</v>
      </c>
      <c r="D241" s="62" t="s">
        <v>79</v>
      </c>
      <c r="E241" s="4" t="str">
        <f t="shared" si="1"/>
        <v>R</v>
      </c>
      <c r="F241" s="4" t="str">
        <f t="shared" si="2"/>
        <v>午餐一份</v>
      </c>
    </row>
    <row r="242">
      <c r="A242" s="9">
        <v>241.0</v>
      </c>
      <c r="B242" s="2" t="s">
        <v>96</v>
      </c>
      <c r="C242" s="20">
        <v>14.0</v>
      </c>
      <c r="D242" s="62" t="s">
        <v>79</v>
      </c>
      <c r="E242" s="4" t="str">
        <f t="shared" si="1"/>
        <v>R</v>
      </c>
      <c r="F242" s="4" t="str">
        <f t="shared" si="2"/>
        <v>午餐一份</v>
      </c>
    </row>
    <row r="243">
      <c r="A243" s="9">
        <v>242.0</v>
      </c>
      <c r="B243" s="2" t="s">
        <v>96</v>
      </c>
      <c r="C243" s="20">
        <v>15.0</v>
      </c>
      <c r="D243" s="62" t="s">
        <v>79</v>
      </c>
      <c r="E243" s="4" t="str">
        <f t="shared" si="1"/>
        <v>R</v>
      </c>
      <c r="F243" s="4" t="str">
        <f t="shared" si="2"/>
        <v>午餐一份</v>
      </c>
    </row>
    <row r="244">
      <c r="A244" s="9">
        <v>243.0</v>
      </c>
      <c r="B244" s="2" t="s">
        <v>96</v>
      </c>
      <c r="C244" s="20">
        <v>16.0</v>
      </c>
      <c r="D244" s="62" t="s">
        <v>79</v>
      </c>
      <c r="E244" s="4" t="str">
        <f t="shared" si="1"/>
        <v>R</v>
      </c>
      <c r="F244" s="4" t="str">
        <f t="shared" si="2"/>
        <v>午餐一份</v>
      </c>
    </row>
    <row r="245">
      <c r="A245" s="9">
        <v>244.0</v>
      </c>
      <c r="B245" s="2" t="s">
        <v>96</v>
      </c>
      <c r="C245" s="20">
        <v>17.0</v>
      </c>
      <c r="D245" s="62" t="s">
        <v>79</v>
      </c>
      <c r="E245" s="4" t="str">
        <f t="shared" si="1"/>
        <v>R</v>
      </c>
      <c r="F245" s="4" t="str">
        <f t="shared" si="2"/>
        <v>午餐一份</v>
      </c>
    </row>
    <row r="246">
      <c r="A246" s="9">
        <v>245.0</v>
      </c>
      <c r="B246" s="2" t="s">
        <v>96</v>
      </c>
      <c r="C246" s="20">
        <v>18.0</v>
      </c>
      <c r="D246" s="62" t="s">
        <v>79</v>
      </c>
      <c r="E246" s="4" t="str">
        <f t="shared" si="1"/>
        <v>R</v>
      </c>
      <c r="F246" s="4" t="str">
        <f t="shared" si="2"/>
        <v>午餐一份</v>
      </c>
    </row>
    <row r="247">
      <c r="A247" s="9">
        <v>246.0</v>
      </c>
      <c r="B247" s="2" t="s">
        <v>96</v>
      </c>
      <c r="C247" s="20">
        <v>19.0</v>
      </c>
      <c r="D247" s="62" t="s">
        <v>79</v>
      </c>
      <c r="E247" s="4" t="str">
        <f t="shared" si="1"/>
        <v>R</v>
      </c>
      <c r="F247" s="4" t="str">
        <f t="shared" si="2"/>
        <v>午餐一份</v>
      </c>
    </row>
    <row r="248">
      <c r="A248" s="9">
        <v>247.0</v>
      </c>
      <c r="B248" s="2" t="s">
        <v>96</v>
      </c>
      <c r="C248" s="20">
        <v>20.0</v>
      </c>
      <c r="D248" s="62" t="s">
        <v>79</v>
      </c>
      <c r="E248" s="4" t="str">
        <f t="shared" si="1"/>
        <v>R</v>
      </c>
      <c r="F248" s="4" t="str">
        <f t="shared" si="2"/>
        <v>午餐一份</v>
      </c>
    </row>
    <row r="249">
      <c r="A249" s="9">
        <v>248.0</v>
      </c>
      <c r="B249" s="2" t="s">
        <v>96</v>
      </c>
      <c r="C249" s="20">
        <v>21.0</v>
      </c>
      <c r="D249" s="62" t="s">
        <v>79</v>
      </c>
      <c r="E249" s="4" t="str">
        <f t="shared" si="1"/>
        <v>R</v>
      </c>
      <c r="F249" s="4" t="str">
        <f t="shared" si="2"/>
        <v>午餐一份</v>
      </c>
    </row>
    <row r="250">
      <c r="A250" s="9">
        <v>249.0</v>
      </c>
      <c r="B250" s="2" t="s">
        <v>96</v>
      </c>
      <c r="C250" s="20">
        <v>22.0</v>
      </c>
      <c r="D250" s="62" t="s">
        <v>79</v>
      </c>
      <c r="E250" s="4" t="str">
        <f t="shared" si="1"/>
        <v>R</v>
      </c>
      <c r="F250" s="4" t="str">
        <f t="shared" si="2"/>
        <v>午餐一份</v>
      </c>
    </row>
    <row r="251">
      <c r="A251" s="9">
        <v>250.0</v>
      </c>
      <c r="B251" s="2" t="s">
        <v>96</v>
      </c>
      <c r="C251" s="20">
        <v>23.0</v>
      </c>
      <c r="D251" s="62" t="s">
        <v>79</v>
      </c>
      <c r="E251" s="4" t="str">
        <f t="shared" si="1"/>
        <v>R</v>
      </c>
      <c r="F251" s="4" t="str">
        <f t="shared" si="2"/>
        <v>午餐一份</v>
      </c>
    </row>
    <row r="252">
      <c r="A252" s="9">
        <v>251.0</v>
      </c>
      <c r="B252" s="2" t="s">
        <v>96</v>
      </c>
      <c r="C252" s="20">
        <v>24.0</v>
      </c>
      <c r="D252" s="62" t="s">
        <v>79</v>
      </c>
      <c r="E252" s="4" t="str">
        <f t="shared" si="1"/>
        <v>R</v>
      </c>
      <c r="F252" s="4" t="str">
        <f t="shared" si="2"/>
        <v>午餐一份</v>
      </c>
    </row>
    <row r="253">
      <c r="A253" s="9">
        <v>252.0</v>
      </c>
      <c r="B253" s="2" t="s">
        <v>96</v>
      </c>
      <c r="C253" s="20">
        <v>25.0</v>
      </c>
      <c r="D253" s="62" t="s">
        <v>79</v>
      </c>
      <c r="E253" s="4" t="str">
        <f t="shared" si="1"/>
        <v>R</v>
      </c>
      <c r="F253" s="4" t="str">
        <f t="shared" si="2"/>
        <v>午餐一份</v>
      </c>
    </row>
    <row r="254">
      <c r="A254" s="9">
        <v>253.0</v>
      </c>
      <c r="B254" s="2" t="s">
        <v>96</v>
      </c>
      <c r="C254" s="20">
        <v>26.0</v>
      </c>
      <c r="D254" s="62" t="s">
        <v>79</v>
      </c>
      <c r="E254" s="4" t="str">
        <f t="shared" si="1"/>
        <v>R</v>
      </c>
      <c r="F254" s="4" t="str">
        <f t="shared" si="2"/>
        <v>午餐一份</v>
      </c>
    </row>
    <row r="255">
      <c r="A255" s="9">
        <v>254.0</v>
      </c>
      <c r="B255" s="2" t="s">
        <v>96</v>
      </c>
      <c r="C255" s="20">
        <v>27.0</v>
      </c>
      <c r="D255" s="62" t="s">
        <v>79</v>
      </c>
      <c r="E255" s="4" t="str">
        <f t="shared" si="1"/>
        <v>R</v>
      </c>
      <c r="F255" s="4" t="str">
        <f t="shared" si="2"/>
        <v>午餐一份</v>
      </c>
    </row>
    <row r="256">
      <c r="A256" s="9">
        <v>255.0</v>
      </c>
      <c r="B256" s="2" t="s">
        <v>96</v>
      </c>
      <c r="C256" s="20">
        <v>28.0</v>
      </c>
      <c r="D256" s="62" t="s">
        <v>79</v>
      </c>
      <c r="E256" s="4" t="str">
        <f t="shared" si="1"/>
        <v>R</v>
      </c>
      <c r="F256" s="4" t="str">
        <f t="shared" si="2"/>
        <v>午餐一份</v>
      </c>
    </row>
    <row r="257">
      <c r="A257" s="9">
        <v>256.0</v>
      </c>
      <c r="B257" s="2" t="s">
        <v>96</v>
      </c>
      <c r="C257" s="20">
        <v>29.0</v>
      </c>
      <c r="D257" s="62" t="s">
        <v>79</v>
      </c>
      <c r="E257" s="4" t="str">
        <f t="shared" si="1"/>
        <v>R</v>
      </c>
      <c r="F257" s="4" t="str">
        <f t="shared" si="2"/>
        <v>午餐一份</v>
      </c>
    </row>
    <row r="258">
      <c r="A258" s="9">
        <v>257.0</v>
      </c>
      <c r="B258" s="2" t="s">
        <v>96</v>
      </c>
      <c r="C258" s="20">
        <v>30.0</v>
      </c>
      <c r="D258" s="62" t="s">
        <v>79</v>
      </c>
      <c r="E258" s="4" t="str">
        <f t="shared" si="1"/>
        <v>R</v>
      </c>
      <c r="F258" s="4" t="str">
        <f t="shared" si="2"/>
        <v>午餐一份</v>
      </c>
    </row>
    <row r="259">
      <c r="A259" s="9">
        <v>258.0</v>
      </c>
      <c r="B259" s="2" t="s">
        <v>96</v>
      </c>
      <c r="C259" s="20">
        <v>31.0</v>
      </c>
      <c r="D259" s="62" t="s">
        <v>79</v>
      </c>
      <c r="E259" s="4" t="str">
        <f t="shared" si="1"/>
        <v>R</v>
      </c>
      <c r="F259" s="4" t="str">
        <f t="shared" si="2"/>
        <v>午餐一份</v>
      </c>
    </row>
    <row r="260">
      <c r="A260" s="9">
        <v>259.0</v>
      </c>
      <c r="B260" s="2" t="s">
        <v>96</v>
      </c>
      <c r="C260" s="20">
        <v>32.0</v>
      </c>
      <c r="D260" s="62" t="s">
        <v>79</v>
      </c>
      <c r="E260" s="4" t="str">
        <f t="shared" si="1"/>
        <v>R</v>
      </c>
      <c r="F260" s="4" t="str">
        <f t="shared" si="2"/>
        <v>午餐一份</v>
      </c>
    </row>
    <row r="261">
      <c r="A261" s="9">
        <v>260.0</v>
      </c>
      <c r="B261" s="2" t="s">
        <v>96</v>
      </c>
      <c r="C261" s="20">
        <v>33.0</v>
      </c>
      <c r="D261" s="62" t="s">
        <v>79</v>
      </c>
      <c r="E261" s="4" t="str">
        <f t="shared" si="1"/>
        <v>R</v>
      </c>
      <c r="F261" s="4" t="str">
        <f t="shared" si="2"/>
        <v>午餐一份</v>
      </c>
    </row>
    <row r="262">
      <c r="A262" s="9">
        <v>261.0</v>
      </c>
      <c r="B262" s="2" t="s">
        <v>96</v>
      </c>
      <c r="C262" s="20">
        <v>34.0</v>
      </c>
      <c r="D262" s="62" t="s">
        <v>79</v>
      </c>
      <c r="E262" s="4" t="str">
        <f t="shared" si="1"/>
        <v>R</v>
      </c>
      <c r="F262" s="4" t="str">
        <f t="shared" si="2"/>
        <v>午餐一份</v>
      </c>
    </row>
    <row r="263">
      <c r="A263" s="9">
        <v>262.0</v>
      </c>
      <c r="B263" s="2" t="s">
        <v>96</v>
      </c>
      <c r="C263" s="20">
        <v>35.0</v>
      </c>
      <c r="D263" s="62" t="s">
        <v>79</v>
      </c>
      <c r="E263" s="4" t="str">
        <f t="shared" si="1"/>
        <v>R</v>
      </c>
      <c r="F263" s="4" t="str">
        <f t="shared" si="2"/>
        <v>午餐一份</v>
      </c>
    </row>
    <row r="264">
      <c r="A264" s="9">
        <v>263.0</v>
      </c>
      <c r="B264" s="2" t="s">
        <v>96</v>
      </c>
      <c r="C264" s="20">
        <v>36.0</v>
      </c>
      <c r="D264" s="62" t="s">
        <v>79</v>
      </c>
      <c r="E264" s="4" t="str">
        <f t="shared" si="1"/>
        <v>R</v>
      </c>
      <c r="F264" s="4" t="str">
        <f t="shared" si="2"/>
        <v>午餐一份</v>
      </c>
    </row>
    <row r="265">
      <c r="A265" s="9">
        <v>264.0</v>
      </c>
      <c r="B265" s="2" t="s">
        <v>96</v>
      </c>
      <c r="C265" s="20">
        <v>37.0</v>
      </c>
      <c r="D265" s="62" t="s">
        <v>79</v>
      </c>
      <c r="E265" s="4" t="str">
        <f t="shared" si="1"/>
        <v>R</v>
      </c>
      <c r="F265" s="4" t="str">
        <f t="shared" si="2"/>
        <v>午餐一份</v>
      </c>
    </row>
    <row r="266">
      <c r="A266" s="9">
        <v>265.0</v>
      </c>
      <c r="B266" s="2" t="s">
        <v>96</v>
      </c>
      <c r="C266" s="20">
        <v>38.0</v>
      </c>
      <c r="D266" s="62" t="s">
        <v>79</v>
      </c>
      <c r="E266" s="4" t="str">
        <f t="shared" si="1"/>
        <v>R</v>
      </c>
      <c r="F266" s="4" t="str">
        <f t="shared" si="2"/>
        <v>午餐一份</v>
      </c>
    </row>
    <row r="267">
      <c r="A267" s="9">
        <v>266.0</v>
      </c>
      <c r="B267" s="2" t="s">
        <v>96</v>
      </c>
      <c r="C267" s="20">
        <v>39.0</v>
      </c>
      <c r="D267" s="62" t="s">
        <v>79</v>
      </c>
      <c r="E267" s="4" t="str">
        <f t="shared" si="1"/>
        <v>R</v>
      </c>
      <c r="F267" s="4" t="str">
        <f t="shared" si="2"/>
        <v>午餐一份</v>
      </c>
    </row>
    <row r="268">
      <c r="A268" s="9">
        <v>267.0</v>
      </c>
      <c r="B268" s="2" t="s">
        <v>96</v>
      </c>
      <c r="C268" s="20">
        <v>40.0</v>
      </c>
      <c r="D268" s="62" t="s">
        <v>79</v>
      </c>
      <c r="E268" s="4" t="str">
        <f t="shared" si="1"/>
        <v>R</v>
      </c>
      <c r="F268" s="4" t="str">
        <f t="shared" si="2"/>
        <v>午餐一份</v>
      </c>
    </row>
    <row r="269">
      <c r="C269" s="188"/>
    </row>
    <row r="270">
      <c r="C270" s="188"/>
    </row>
    <row r="271">
      <c r="C271" s="188"/>
    </row>
    <row r="272">
      <c r="C272" s="188"/>
    </row>
  </sheetData>
  <dataValidations>
    <dataValidation type="list" allowBlank="1" showErrorMessage="1" sqref="D77:D268">
      <formula1>para!$B$2:$B$5</formula1>
    </dataValidation>
    <dataValidation type="list" allowBlank="1" showErrorMessage="1" sqref="D2:D45 D61:D69">
      <formula1>para!$A$2:$A$8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7.75"/>
    <col customWidth="1" min="3" max="3" width="14.0"/>
    <col customWidth="1" min="4" max="4" width="11.38"/>
    <col customWidth="1" min="5" max="5" width="19.63"/>
    <col customWidth="1" min="6" max="6" width="34.25"/>
    <col customWidth="1" min="7" max="7" width="29.13"/>
    <col customWidth="1" min="8" max="8" width="15.25"/>
    <col customWidth="1" min="9" max="9" width="8.13"/>
    <col customWidth="1" min="10" max="14" width="7.13"/>
    <col customWidth="1" min="15" max="17" width="7.25"/>
    <col customWidth="1" min="18" max="18" width="7.13"/>
    <col customWidth="1" min="19" max="31" width="9.88"/>
    <col customWidth="1" min="32" max="32" width="16.25"/>
  </cols>
  <sheetData>
    <row r="1" ht="60.0" customHeight="1">
      <c r="A1" s="1"/>
      <c r="B1" s="7" t="s">
        <v>1</v>
      </c>
      <c r="C1" s="7" t="s">
        <v>3</v>
      </c>
      <c r="D1" s="15" t="s">
        <v>10</v>
      </c>
      <c r="E1" s="15" t="s">
        <v>8</v>
      </c>
      <c r="F1" s="17" t="s">
        <v>9</v>
      </c>
      <c r="G1" s="3" t="s">
        <v>15</v>
      </c>
      <c r="H1" s="3" t="s">
        <v>19</v>
      </c>
      <c r="I1" s="19" t="s">
        <v>17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7"/>
    </row>
    <row r="2" ht="15.75" customHeight="1">
      <c r="A2" s="1">
        <v>1.0</v>
      </c>
      <c r="B2" s="30" t="s">
        <v>36</v>
      </c>
      <c r="C2" s="30" t="s">
        <v>13</v>
      </c>
      <c r="D2" s="32" t="s">
        <v>45</v>
      </c>
      <c r="E2" s="32" t="s">
        <v>47</v>
      </c>
      <c r="F2" s="20" t="s">
        <v>50</v>
      </c>
      <c r="G2" s="16" t="s">
        <v>53</v>
      </c>
      <c r="H2" s="35"/>
      <c r="I2" s="37" t="s">
        <v>58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27"/>
    </row>
    <row r="3" ht="15.75" customHeight="1">
      <c r="A3" s="1">
        <v>2.0</v>
      </c>
      <c r="B3" s="30" t="s">
        <v>36</v>
      </c>
      <c r="C3" s="30" t="s">
        <v>21</v>
      </c>
      <c r="D3" s="32" t="s">
        <v>45</v>
      </c>
      <c r="E3" s="32" t="s">
        <v>74</v>
      </c>
      <c r="F3" s="20" t="s">
        <v>50</v>
      </c>
      <c r="G3" s="16" t="s">
        <v>76</v>
      </c>
      <c r="H3" s="35"/>
      <c r="I3" s="37" t="s">
        <v>58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27"/>
    </row>
    <row r="4" ht="15.75" customHeight="1">
      <c r="A4" s="1">
        <v>3.0</v>
      </c>
      <c r="B4" s="30" t="s">
        <v>36</v>
      </c>
      <c r="C4" s="43" t="s">
        <v>22</v>
      </c>
      <c r="D4" s="32" t="s">
        <v>45</v>
      </c>
      <c r="E4" s="32" t="s">
        <v>74</v>
      </c>
      <c r="F4" s="20" t="s">
        <v>50</v>
      </c>
      <c r="G4" s="16" t="s">
        <v>88</v>
      </c>
      <c r="H4" s="35"/>
      <c r="I4" s="37" t="s">
        <v>90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27"/>
    </row>
    <row r="5" ht="15.75" customHeight="1">
      <c r="A5" s="1">
        <v>4.0</v>
      </c>
      <c r="B5" s="43" t="s">
        <v>36</v>
      </c>
      <c r="C5" s="43" t="s">
        <v>23</v>
      </c>
      <c r="D5" s="48" t="s">
        <v>45</v>
      </c>
      <c r="E5" s="48" t="s">
        <v>98</v>
      </c>
      <c r="F5" s="20" t="s">
        <v>50</v>
      </c>
      <c r="G5" s="39" t="s">
        <v>100</v>
      </c>
      <c r="H5" s="16"/>
      <c r="I5" s="37" t="s">
        <v>102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27"/>
    </row>
    <row r="6" ht="15.75" customHeight="1">
      <c r="A6" s="1">
        <v>5.0</v>
      </c>
      <c r="B6" s="50" t="s">
        <v>11</v>
      </c>
      <c r="C6" s="16" t="s">
        <v>18</v>
      </c>
      <c r="D6" s="16" t="s">
        <v>45</v>
      </c>
      <c r="E6" s="16" t="s">
        <v>110</v>
      </c>
      <c r="F6" s="41" t="s">
        <v>20</v>
      </c>
      <c r="G6" s="16"/>
      <c r="H6" s="53"/>
      <c r="I6" s="54" t="s">
        <v>118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27"/>
    </row>
    <row r="7" ht="15.75" customHeight="1">
      <c r="A7" s="1">
        <v>6.0</v>
      </c>
      <c r="B7" s="50" t="s">
        <v>11</v>
      </c>
      <c r="C7" s="20" t="s">
        <v>35</v>
      </c>
      <c r="D7" s="16" t="s">
        <v>45</v>
      </c>
      <c r="E7" s="20" t="s">
        <v>127</v>
      </c>
      <c r="F7" s="41" t="s">
        <v>37</v>
      </c>
      <c r="G7" s="35"/>
      <c r="H7" s="16"/>
      <c r="I7" s="56" t="s">
        <v>128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27"/>
    </row>
    <row r="8" ht="15.75" customHeight="1">
      <c r="A8" s="1">
        <v>7.0</v>
      </c>
      <c r="B8" s="50" t="s">
        <v>11</v>
      </c>
      <c r="C8" s="16" t="s">
        <v>39</v>
      </c>
      <c r="D8" s="16" t="s">
        <v>45</v>
      </c>
      <c r="E8" s="20" t="s">
        <v>134</v>
      </c>
      <c r="F8" s="41" t="s">
        <v>40</v>
      </c>
      <c r="G8" s="35"/>
      <c r="H8" s="16"/>
      <c r="I8" s="57" t="s">
        <v>137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27"/>
    </row>
    <row r="9" ht="15.75" customHeight="1">
      <c r="A9" s="1">
        <v>8.0</v>
      </c>
      <c r="B9" s="50" t="s">
        <v>11</v>
      </c>
      <c r="C9" s="59" t="s">
        <v>41</v>
      </c>
      <c r="D9" s="16" t="s">
        <v>45</v>
      </c>
      <c r="E9" s="16"/>
      <c r="F9" s="41" t="s">
        <v>20</v>
      </c>
      <c r="G9" s="35"/>
      <c r="H9" s="16"/>
      <c r="I9" s="56" t="s">
        <v>146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27"/>
    </row>
    <row r="10" ht="15.75" customHeight="1">
      <c r="A10" s="1">
        <v>9.0</v>
      </c>
      <c r="B10" s="50" t="s">
        <v>11</v>
      </c>
      <c r="C10" s="59" t="s">
        <v>64</v>
      </c>
      <c r="D10" s="16" t="s">
        <v>45</v>
      </c>
      <c r="E10" s="20" t="s">
        <v>134</v>
      </c>
      <c r="F10" s="41" t="s">
        <v>37</v>
      </c>
      <c r="G10" s="35"/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27"/>
    </row>
    <row r="11" ht="15.75" customHeight="1">
      <c r="A11" s="1">
        <v>10.0</v>
      </c>
      <c r="B11" s="50" t="s">
        <v>11</v>
      </c>
      <c r="C11" s="59" t="s">
        <v>68</v>
      </c>
      <c r="D11" s="16" t="s">
        <v>45</v>
      </c>
      <c r="E11" s="20" t="s">
        <v>134</v>
      </c>
      <c r="F11" s="41" t="s">
        <v>40</v>
      </c>
      <c r="G11" s="35"/>
      <c r="H11" s="1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27"/>
    </row>
    <row r="12" ht="15.75" customHeight="1">
      <c r="A12" s="1">
        <v>11.0</v>
      </c>
      <c r="B12" s="63" t="s">
        <v>24</v>
      </c>
      <c r="C12" s="63" t="s">
        <v>158</v>
      </c>
      <c r="D12" s="65" t="s">
        <v>45</v>
      </c>
      <c r="E12" s="67" t="s">
        <v>74</v>
      </c>
      <c r="F12" s="69" t="s">
        <v>162</v>
      </c>
      <c r="G12" s="70"/>
      <c r="H12" s="16"/>
      <c r="I12" s="73" t="s">
        <v>166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27"/>
    </row>
    <row r="13" ht="15.75" customHeight="1">
      <c r="A13" s="1">
        <v>12.0</v>
      </c>
      <c r="B13" s="30" t="s">
        <v>24</v>
      </c>
      <c r="C13" s="63" t="s">
        <v>172</v>
      </c>
      <c r="D13" s="65" t="s">
        <v>45</v>
      </c>
      <c r="E13" s="67" t="s">
        <v>73</v>
      </c>
      <c r="F13" s="69" t="s">
        <v>50</v>
      </c>
      <c r="G13" s="76" t="s">
        <v>174</v>
      </c>
      <c r="H13" s="77"/>
      <c r="I13" s="37" t="s">
        <v>178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27"/>
    </row>
    <row r="14" ht="15.75" customHeight="1">
      <c r="A14" s="1">
        <v>13.0</v>
      </c>
      <c r="B14" s="30" t="s">
        <v>24</v>
      </c>
      <c r="C14" s="30" t="s">
        <v>179</v>
      </c>
      <c r="D14" s="79" t="s">
        <v>45</v>
      </c>
      <c r="E14" s="32" t="s">
        <v>73</v>
      </c>
      <c r="F14" s="69" t="s">
        <v>50</v>
      </c>
      <c r="G14" s="76" t="s">
        <v>181</v>
      </c>
      <c r="H14" s="35"/>
      <c r="I14" s="80" t="s">
        <v>182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27"/>
    </row>
    <row r="15" ht="15.75" customHeight="1">
      <c r="A15" s="1">
        <v>14.0</v>
      </c>
      <c r="B15" s="63" t="s">
        <v>24</v>
      </c>
      <c r="C15" s="30" t="s">
        <v>187</v>
      </c>
      <c r="D15" s="79" t="s">
        <v>45</v>
      </c>
      <c r="E15" s="32" t="s">
        <v>188</v>
      </c>
      <c r="F15" s="69" t="s">
        <v>50</v>
      </c>
      <c r="G15" s="76" t="s">
        <v>189</v>
      </c>
      <c r="H15" s="16"/>
      <c r="I15" s="82" t="s">
        <v>191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27"/>
    </row>
    <row r="16" ht="15.75" customHeight="1">
      <c r="A16" s="1">
        <v>15.0</v>
      </c>
      <c r="B16" s="30" t="s">
        <v>24</v>
      </c>
      <c r="C16" s="30" t="s">
        <v>193</v>
      </c>
      <c r="D16" s="79" t="s">
        <v>45</v>
      </c>
      <c r="E16" s="32" t="s">
        <v>188</v>
      </c>
      <c r="F16" s="69" t="s">
        <v>50</v>
      </c>
      <c r="G16" s="76" t="s">
        <v>194</v>
      </c>
      <c r="H16" s="35"/>
      <c r="I16" s="37" t="s">
        <v>195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27"/>
    </row>
    <row r="17" ht="15.75" customHeight="1">
      <c r="A17" s="1">
        <v>16.0</v>
      </c>
      <c r="B17" s="63" t="s">
        <v>24</v>
      </c>
      <c r="C17" s="85" t="s">
        <v>78</v>
      </c>
      <c r="D17" s="86" t="s">
        <v>198</v>
      </c>
      <c r="E17" s="40" t="s">
        <v>199</v>
      </c>
      <c r="F17" s="69" t="s">
        <v>37</v>
      </c>
      <c r="G17" s="76"/>
      <c r="H17" s="16"/>
      <c r="I17" s="8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27"/>
    </row>
    <row r="18" ht="15.75" customHeight="1">
      <c r="A18" s="1">
        <v>17.0</v>
      </c>
      <c r="B18" s="63" t="s">
        <v>24</v>
      </c>
      <c r="C18" s="85" t="s">
        <v>82</v>
      </c>
      <c r="D18" s="86" t="s">
        <v>45</v>
      </c>
      <c r="E18" s="40" t="s">
        <v>200</v>
      </c>
      <c r="F18" s="69" t="s">
        <v>37</v>
      </c>
      <c r="G18" s="76"/>
      <c r="H18" s="16"/>
      <c r="I18" s="8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27"/>
    </row>
    <row r="19" ht="15.75" customHeight="1">
      <c r="A19" s="1">
        <v>18.0</v>
      </c>
      <c r="B19" s="63" t="s">
        <v>24</v>
      </c>
      <c r="C19" s="88" t="s">
        <v>86</v>
      </c>
      <c r="D19" s="86" t="s">
        <v>45</v>
      </c>
      <c r="E19" s="40" t="s">
        <v>200</v>
      </c>
      <c r="F19" s="69" t="s">
        <v>92</v>
      </c>
      <c r="G19" s="76"/>
      <c r="H19" s="16"/>
      <c r="I19" s="8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27"/>
    </row>
    <row r="20" ht="15.75" customHeight="1">
      <c r="A20" s="1">
        <v>19.0</v>
      </c>
      <c r="B20" s="63" t="s">
        <v>24</v>
      </c>
      <c r="C20" s="88" t="s">
        <v>95</v>
      </c>
      <c r="D20" s="89" t="s">
        <v>45</v>
      </c>
      <c r="E20" s="40" t="s">
        <v>210</v>
      </c>
      <c r="F20" s="69" t="s">
        <v>37</v>
      </c>
      <c r="G20" s="76"/>
      <c r="H20" s="16"/>
      <c r="I20" s="8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27"/>
    </row>
    <row r="21" ht="15.75" customHeight="1">
      <c r="A21" s="1">
        <v>20.0</v>
      </c>
      <c r="B21" s="63" t="s">
        <v>24</v>
      </c>
      <c r="C21" s="88" t="s">
        <v>97</v>
      </c>
      <c r="D21" s="89" t="s">
        <v>45</v>
      </c>
      <c r="E21" s="40" t="s">
        <v>213</v>
      </c>
      <c r="F21" s="69" t="s">
        <v>40</v>
      </c>
      <c r="G21" s="76"/>
      <c r="H21" s="16"/>
      <c r="I21" s="8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27"/>
    </row>
    <row r="22" ht="15.75" customHeight="1">
      <c r="A22" s="1">
        <v>21.0</v>
      </c>
      <c r="B22" s="63" t="s">
        <v>24</v>
      </c>
      <c r="C22" s="88" t="s">
        <v>103</v>
      </c>
      <c r="D22" s="89" t="s">
        <v>45</v>
      </c>
      <c r="E22" s="40" t="s">
        <v>200</v>
      </c>
      <c r="F22" s="69" t="s">
        <v>20</v>
      </c>
      <c r="G22" s="76"/>
      <c r="H22" s="16"/>
      <c r="I22" s="8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27"/>
    </row>
    <row r="23" ht="15.75" customHeight="1">
      <c r="A23" s="1">
        <v>22.0</v>
      </c>
      <c r="B23" s="63" t="s">
        <v>24</v>
      </c>
      <c r="C23" s="88" t="s">
        <v>105</v>
      </c>
      <c r="D23" s="89" t="s">
        <v>198</v>
      </c>
      <c r="E23" s="40">
        <v>256.0</v>
      </c>
      <c r="F23" s="69" t="s">
        <v>20</v>
      </c>
      <c r="G23" s="76"/>
      <c r="H23" s="16"/>
      <c r="I23" s="8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27"/>
    </row>
    <row r="24" ht="15.75" customHeight="1">
      <c r="A24" s="1">
        <v>23.0</v>
      </c>
      <c r="B24" s="63" t="s">
        <v>24</v>
      </c>
      <c r="C24" s="88" t="s">
        <v>226</v>
      </c>
      <c r="D24" s="89" t="s">
        <v>45</v>
      </c>
      <c r="E24" s="40" t="s">
        <v>227</v>
      </c>
      <c r="F24" s="69" t="s">
        <v>50</v>
      </c>
      <c r="G24" s="95"/>
      <c r="H24" s="16"/>
      <c r="I24" s="8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27"/>
    </row>
    <row r="25" ht="15.75" customHeight="1">
      <c r="A25" s="1">
        <v>24.0</v>
      </c>
      <c r="B25" s="97" t="s">
        <v>108</v>
      </c>
      <c r="C25" s="50" t="s">
        <v>109</v>
      </c>
      <c r="D25" s="98" t="s">
        <v>45</v>
      </c>
      <c r="E25" s="20" t="s">
        <v>234</v>
      </c>
      <c r="F25" s="69" t="s">
        <v>79</v>
      </c>
      <c r="G25" s="95"/>
      <c r="H25" s="16"/>
      <c r="I25" s="8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27"/>
    </row>
    <row r="26" ht="15.75" customHeight="1">
      <c r="A26" s="1">
        <v>25.0</v>
      </c>
      <c r="B26" s="97" t="s">
        <v>108</v>
      </c>
      <c r="C26" s="50" t="s">
        <v>112</v>
      </c>
      <c r="D26" s="98" t="s">
        <v>45</v>
      </c>
      <c r="E26" s="20" t="s">
        <v>234</v>
      </c>
      <c r="F26" s="69" t="s">
        <v>79</v>
      </c>
      <c r="G26" s="95"/>
      <c r="H26" s="16"/>
      <c r="I26" s="8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27"/>
    </row>
    <row r="27" ht="15.75" customHeight="1">
      <c r="A27" s="1">
        <v>26.0</v>
      </c>
      <c r="B27" s="97" t="s">
        <v>108</v>
      </c>
      <c r="C27" s="50" t="s">
        <v>117</v>
      </c>
      <c r="D27" s="98" t="s">
        <v>45</v>
      </c>
      <c r="E27" s="20" t="s">
        <v>234</v>
      </c>
      <c r="F27" s="69" t="s">
        <v>79</v>
      </c>
      <c r="G27" s="95"/>
      <c r="H27" s="16"/>
      <c r="I27" s="8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27"/>
    </row>
    <row r="28" ht="15.75" customHeight="1">
      <c r="A28" s="1">
        <v>27.0</v>
      </c>
      <c r="B28" s="97" t="s">
        <v>108</v>
      </c>
      <c r="C28" s="50" t="s">
        <v>121</v>
      </c>
      <c r="D28" s="98" t="s">
        <v>45</v>
      </c>
      <c r="E28" s="20" t="s">
        <v>234</v>
      </c>
      <c r="F28" s="69" t="s">
        <v>79</v>
      </c>
      <c r="G28" s="95"/>
      <c r="H28" s="16"/>
      <c r="I28" s="8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27"/>
    </row>
    <row r="29" ht="15.75" customHeight="1">
      <c r="A29" s="1">
        <v>28.0</v>
      </c>
      <c r="B29" s="97" t="s">
        <v>108</v>
      </c>
      <c r="C29" s="50" t="s">
        <v>126</v>
      </c>
      <c r="D29" s="98" t="s">
        <v>45</v>
      </c>
      <c r="E29" s="20" t="s">
        <v>234</v>
      </c>
      <c r="F29" s="69" t="s">
        <v>79</v>
      </c>
      <c r="G29" s="95"/>
      <c r="H29" s="16"/>
      <c r="I29" s="84"/>
      <c r="J29" s="1"/>
      <c r="K29" s="1"/>
      <c r="L29" s="1"/>
      <c r="M29" s="27"/>
      <c r="N29" s="27"/>
      <c r="O29" s="27"/>
      <c r="P29" s="27"/>
      <c r="Q29" s="27"/>
      <c r="R29" s="27"/>
      <c r="S29" s="27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27"/>
    </row>
    <row r="30" ht="15.75" customHeight="1">
      <c r="A30" s="1">
        <v>29.0</v>
      </c>
      <c r="B30" s="97" t="s">
        <v>108</v>
      </c>
      <c r="C30" s="50" t="s">
        <v>129</v>
      </c>
      <c r="D30" s="98" t="s">
        <v>45</v>
      </c>
      <c r="E30" s="20" t="s">
        <v>234</v>
      </c>
      <c r="F30" s="69" t="s">
        <v>79</v>
      </c>
      <c r="G30" s="95"/>
      <c r="H30" s="16"/>
      <c r="I30" s="84"/>
      <c r="J30" s="1"/>
      <c r="K30" s="1"/>
      <c r="L30" s="1"/>
      <c r="M30" s="27"/>
      <c r="N30" s="27"/>
      <c r="O30" s="27"/>
      <c r="P30" s="27"/>
      <c r="Q30" s="27"/>
      <c r="R30" s="27"/>
      <c r="S30" s="27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27"/>
    </row>
    <row r="31" ht="15.75" customHeight="1">
      <c r="A31" s="1">
        <v>30.0</v>
      </c>
      <c r="B31" s="97" t="s">
        <v>108</v>
      </c>
      <c r="C31" s="50" t="s">
        <v>131</v>
      </c>
      <c r="D31" s="98" t="s">
        <v>45</v>
      </c>
      <c r="E31" s="20" t="s">
        <v>234</v>
      </c>
      <c r="F31" s="69" t="s">
        <v>79</v>
      </c>
      <c r="G31" s="95"/>
      <c r="H31" s="16"/>
      <c r="I31" s="84"/>
      <c r="J31" s="1"/>
      <c r="K31" s="1"/>
      <c r="L31" s="1"/>
      <c r="M31" s="27"/>
      <c r="N31" s="27"/>
      <c r="O31" s="27"/>
      <c r="P31" s="27"/>
      <c r="Q31" s="27"/>
      <c r="R31" s="27"/>
      <c r="S31" s="27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27"/>
    </row>
    <row r="32" ht="15.75" customHeight="1">
      <c r="A32" s="1">
        <v>31.0</v>
      </c>
      <c r="B32" s="97" t="s">
        <v>108</v>
      </c>
      <c r="C32" s="50" t="s">
        <v>133</v>
      </c>
      <c r="D32" s="98" t="s">
        <v>45</v>
      </c>
      <c r="E32" s="20" t="s">
        <v>234</v>
      </c>
      <c r="F32" s="69" t="s">
        <v>79</v>
      </c>
      <c r="G32" s="95"/>
      <c r="H32" s="16"/>
      <c r="I32" s="84"/>
      <c r="J32" s="1"/>
      <c r="K32" s="1"/>
      <c r="L32" s="1"/>
      <c r="M32" s="27"/>
      <c r="N32" s="27"/>
      <c r="O32" s="27"/>
      <c r="P32" s="27"/>
      <c r="Q32" s="27"/>
      <c r="R32" s="27"/>
      <c r="S32" s="27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27"/>
    </row>
    <row r="33" ht="15.75" customHeight="1">
      <c r="A33" s="1">
        <v>32.0</v>
      </c>
      <c r="B33" s="63" t="s">
        <v>25</v>
      </c>
      <c r="C33" s="30" t="s">
        <v>255</v>
      </c>
      <c r="D33" s="79" t="s">
        <v>45</v>
      </c>
      <c r="E33" s="32" t="s">
        <v>132</v>
      </c>
      <c r="F33" s="20" t="s">
        <v>50</v>
      </c>
      <c r="G33" s="95"/>
      <c r="H33" s="16"/>
      <c r="I33" s="84"/>
      <c r="J33" s="1"/>
      <c r="K33" s="1"/>
      <c r="L33" s="1"/>
      <c r="M33" s="27"/>
      <c r="N33" s="27"/>
      <c r="O33" s="27"/>
      <c r="P33" s="27"/>
      <c r="Q33" s="27"/>
      <c r="R33" s="27"/>
      <c r="S33" s="27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27"/>
    </row>
    <row r="34" ht="15.75" customHeight="1">
      <c r="A34" s="1">
        <v>33.0</v>
      </c>
      <c r="B34" s="30" t="s">
        <v>25</v>
      </c>
      <c r="C34" s="30" t="s">
        <v>139</v>
      </c>
      <c r="D34" s="32" t="s">
        <v>45</v>
      </c>
      <c r="E34" s="32" t="s">
        <v>132</v>
      </c>
      <c r="F34" s="20" t="s">
        <v>37</v>
      </c>
      <c r="G34" s="95"/>
      <c r="H34" s="16"/>
      <c r="I34" s="84"/>
      <c r="J34" s="1"/>
      <c r="K34" s="1"/>
      <c r="L34" s="1"/>
      <c r="M34" s="27"/>
      <c r="N34" s="27"/>
      <c r="O34" s="27"/>
      <c r="P34" s="27"/>
      <c r="Q34" s="27"/>
      <c r="R34" s="27"/>
      <c r="S34" s="27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27"/>
    </row>
    <row r="35" ht="15.75" customHeight="1">
      <c r="A35" s="1"/>
      <c r="B35" s="107"/>
      <c r="C35" s="107"/>
      <c r="D35" s="108" t="s">
        <v>261</v>
      </c>
      <c r="E35" s="112">
        <f>COUNTIF(F:F,"A*")</f>
        <v>6</v>
      </c>
      <c r="F35" s="1"/>
      <c r="G35" s="1"/>
      <c r="H35" s="1"/>
      <c r="I35" s="8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27"/>
    </row>
    <row r="36" ht="15.75" customHeight="1">
      <c r="A36" s="114"/>
      <c r="B36" s="107"/>
      <c r="C36" s="107"/>
      <c r="D36" s="108" t="s">
        <v>269</v>
      </c>
      <c r="E36" s="112">
        <f>COUNTIF(F:F,"B*")</f>
        <v>4</v>
      </c>
      <c r="F36" s="1"/>
      <c r="G36" s="1"/>
      <c r="H36" s="1"/>
      <c r="I36" s="84"/>
      <c r="J36" s="1"/>
      <c r="K36" s="1"/>
      <c r="L36" s="1"/>
      <c r="M36" s="1"/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27"/>
    </row>
    <row r="37" ht="15.75" customHeight="1">
      <c r="A37" s="114"/>
      <c r="B37" s="107"/>
      <c r="C37" s="107"/>
      <c r="D37" s="108" t="s">
        <v>274</v>
      </c>
      <c r="E37" s="112">
        <f>COUNTIF(F:F,"C*")</f>
        <v>3</v>
      </c>
      <c r="F37" s="1"/>
      <c r="G37" s="1"/>
      <c r="H37" s="1"/>
      <c r="I37" s="84"/>
      <c r="J37" s="1"/>
      <c r="K37" s="1"/>
      <c r="L37" s="1"/>
      <c r="M37" s="1"/>
      <c r="N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27"/>
    </row>
    <row r="38" ht="15.75" customHeight="1">
      <c r="A38" s="114"/>
      <c r="B38" s="107"/>
      <c r="C38" s="107"/>
      <c r="D38" s="108" t="s">
        <v>278</v>
      </c>
      <c r="E38" s="112">
        <f>COUNTIF(F:F,"D*")</f>
        <v>1</v>
      </c>
      <c r="F38" s="1"/>
      <c r="G38" s="1"/>
      <c r="H38" s="1"/>
      <c r="I38" s="84"/>
      <c r="J38" s="1"/>
      <c r="K38" s="1"/>
      <c r="L38" s="1"/>
      <c r="M38" s="1"/>
      <c r="N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27"/>
    </row>
    <row r="39" ht="15.75" customHeight="1">
      <c r="A39" s="114"/>
      <c r="B39" s="107"/>
      <c r="C39" s="107"/>
      <c r="D39" s="119" t="s">
        <v>79</v>
      </c>
      <c r="E39" s="112">
        <f>COUNTIF(F:F,"Random")</f>
        <v>8</v>
      </c>
      <c r="F39" s="1"/>
      <c r="G39" s="1"/>
      <c r="H39" s="1"/>
      <c r="I39" s="1"/>
      <c r="J39" s="1"/>
      <c r="K39" s="1"/>
      <c r="L39" s="1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27"/>
    </row>
    <row r="40" ht="15.75" customHeight="1">
      <c r="A40" s="114"/>
      <c r="B40" s="107"/>
      <c r="C40" s="107"/>
      <c r="D40" s="108" t="s">
        <v>285</v>
      </c>
      <c r="E40" s="112">
        <f>COUNTIF(F:F,"嘉*")</f>
        <v>10</v>
      </c>
      <c r="F40" s="1"/>
      <c r="G40" s="1"/>
      <c r="H40" s="1"/>
      <c r="I40" s="1"/>
      <c r="J40" s="1"/>
      <c r="K40" s="1"/>
      <c r="L40" s="1"/>
      <c r="M40" s="1"/>
      <c r="N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27"/>
    </row>
    <row r="41" ht="15.75" customHeight="1">
      <c r="A41" s="114"/>
      <c r="B41" s="107"/>
      <c r="C41" s="107"/>
      <c r="D41" s="27"/>
      <c r="E41" s="27"/>
      <c r="F41" s="1"/>
      <c r="G41" s="1"/>
      <c r="I41" s="1"/>
      <c r="J41" s="1"/>
      <c r="K41" s="1"/>
      <c r="L41" s="1"/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27"/>
    </row>
    <row r="42" ht="13.5" customHeight="1">
      <c r="A42" s="114"/>
      <c r="B42" s="107"/>
      <c r="C42" s="107"/>
      <c r="D42" s="107"/>
      <c r="E42" s="27"/>
      <c r="F42" s="27"/>
      <c r="G42" s="121" t="s">
        <v>292</v>
      </c>
      <c r="H42" s="122">
        <f>SUM(H45:H50)</f>
        <v>299</v>
      </c>
      <c r="I42" s="1"/>
      <c r="J42" s="1"/>
      <c r="K42" s="1"/>
      <c r="L42" s="1"/>
      <c r="M42" s="1"/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27"/>
    </row>
    <row r="43" ht="13.5" customHeight="1">
      <c r="B43" s="23" t="s">
        <v>296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27"/>
    </row>
    <row r="44" ht="13.5" customHeight="1">
      <c r="A44" s="114"/>
      <c r="B44" s="124" t="s">
        <v>108</v>
      </c>
      <c r="C44" s="124">
        <f>33-8-2</f>
        <v>23</v>
      </c>
      <c r="H44" s="16" t="s">
        <v>5</v>
      </c>
      <c r="I44" s="126" t="s">
        <v>261</v>
      </c>
      <c r="J44" s="126" t="s">
        <v>269</v>
      </c>
      <c r="K44" s="127" t="s">
        <v>274</v>
      </c>
      <c r="L44" s="127" t="s">
        <v>278</v>
      </c>
      <c r="M44" s="128" t="s">
        <v>79</v>
      </c>
      <c r="N44" s="129" t="s">
        <v>301</v>
      </c>
      <c r="O44" s="129" t="s">
        <v>302</v>
      </c>
      <c r="P44" s="130" t="s">
        <v>285</v>
      </c>
      <c r="S44" s="129" t="s">
        <v>303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27"/>
    </row>
    <row r="45" ht="17.25" customHeight="1">
      <c r="A45" s="114"/>
      <c r="B45" s="131" t="s">
        <v>69</v>
      </c>
      <c r="C45" s="135">
        <f>COUNTIF('節目'!B:B,B45)</f>
        <v>192</v>
      </c>
      <c r="G45" s="137" t="s">
        <v>108</v>
      </c>
      <c r="H45" s="16">
        <f t="shared" ref="H45:H52" si="1">SUM(I45:P45)</f>
        <v>32</v>
      </c>
      <c r="I45" s="16">
        <f>E35</f>
        <v>6</v>
      </c>
      <c r="J45" s="16">
        <f>E36</f>
        <v>4</v>
      </c>
      <c r="K45" s="16">
        <f>E37</f>
        <v>3</v>
      </c>
      <c r="L45" s="16">
        <f>E38</f>
        <v>1</v>
      </c>
      <c r="M45" s="20">
        <f>E39</f>
        <v>8</v>
      </c>
      <c r="N45" s="129" t="s">
        <v>14</v>
      </c>
      <c r="O45" s="140"/>
      <c r="P45" s="130">
        <f>E40</f>
        <v>10</v>
      </c>
      <c r="S45" s="140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27"/>
    </row>
    <row r="46" ht="17.25" customHeight="1">
      <c r="A46" s="114"/>
      <c r="B46" s="124" t="s">
        <v>140</v>
      </c>
      <c r="C46" s="135">
        <f>COUNTIF('會操典禮'!B:B,B46)</f>
        <v>40</v>
      </c>
      <c r="G46" s="137" t="s">
        <v>314</v>
      </c>
      <c r="H46" s="16">
        <f t="shared" si="1"/>
        <v>40</v>
      </c>
      <c r="I46" s="16">
        <f>'會操典禮'!E42</f>
        <v>3</v>
      </c>
      <c r="J46" s="16">
        <f>'會操典禮'!E43</f>
        <v>3</v>
      </c>
      <c r="K46" s="16">
        <f>'會操典禮'!E44</f>
        <v>0</v>
      </c>
      <c r="L46" s="16">
        <f>'會操典禮'!E45</f>
        <v>0</v>
      </c>
      <c r="M46" s="20">
        <f>'會操典禮'!E46</f>
        <v>3</v>
      </c>
      <c r="N46" s="130">
        <f>'會操典禮'!E47</f>
        <v>30</v>
      </c>
      <c r="O46" s="142"/>
      <c r="P46" s="130">
        <f>'會操典禮'!E48</f>
        <v>1</v>
      </c>
      <c r="S46" s="142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7.25" customHeight="1">
      <c r="A47" s="114"/>
      <c r="B47" s="144" t="s">
        <v>165</v>
      </c>
      <c r="C47" s="135">
        <f>countif('服務'!B:B,B47)</f>
        <v>14</v>
      </c>
      <c r="G47" s="146" t="s">
        <v>319</v>
      </c>
      <c r="H47" s="16">
        <f t="shared" si="1"/>
        <v>14</v>
      </c>
      <c r="I47" s="16">
        <f>'服務'!E16</f>
        <v>4</v>
      </c>
      <c r="J47" s="16">
        <f>'服務'!E17</f>
        <v>5</v>
      </c>
      <c r="K47" s="16">
        <f>'服務'!E18</f>
        <v>4</v>
      </c>
      <c r="L47" s="16">
        <f>'服務'!E19</f>
        <v>0</v>
      </c>
      <c r="M47" s="20" t="s">
        <v>14</v>
      </c>
      <c r="N47" s="129" t="s">
        <v>14</v>
      </c>
      <c r="O47" s="140"/>
      <c r="P47" s="130">
        <f>'服務'!E20</f>
        <v>1</v>
      </c>
      <c r="S47" s="140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7.25" customHeight="1">
      <c r="A48" s="114"/>
      <c r="B48" s="124" t="s">
        <v>31</v>
      </c>
      <c r="C48" s="135">
        <f>COUNTIF('協調'!B:B,B48)</f>
        <v>17</v>
      </c>
      <c r="G48" s="137" t="s">
        <v>69</v>
      </c>
      <c r="H48" s="16">
        <f t="shared" si="1"/>
        <v>171</v>
      </c>
      <c r="I48" s="149"/>
      <c r="J48" s="149"/>
      <c r="K48" s="150"/>
      <c r="L48" s="92">
        <f>'節目'!E194</f>
        <v>2</v>
      </c>
      <c r="M48" s="152">
        <f>'節目'!E193</f>
        <v>148</v>
      </c>
      <c r="N48" s="130">
        <f>'節目'!E195</f>
        <v>18</v>
      </c>
      <c r="O48" s="140"/>
      <c r="P48" s="130">
        <f>'節目'!E196</f>
        <v>3</v>
      </c>
      <c r="S48" s="14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7.25" customHeight="1">
      <c r="A49" s="114"/>
      <c r="B49" s="124" t="s">
        <v>32</v>
      </c>
      <c r="C49" s="135">
        <f>'行政'!A26</f>
        <v>25</v>
      </c>
      <c r="G49" s="137" t="s">
        <v>31</v>
      </c>
      <c r="H49" s="16">
        <f t="shared" si="1"/>
        <v>17</v>
      </c>
      <c r="I49" s="149"/>
      <c r="J49" s="149"/>
      <c r="K49" s="150"/>
      <c r="L49" s="149"/>
      <c r="M49" s="16">
        <f>'協調'!F23</f>
        <v>15</v>
      </c>
      <c r="N49" s="130"/>
      <c r="O49" s="140"/>
      <c r="P49" s="130">
        <f>'協調'!F24</f>
        <v>2</v>
      </c>
      <c r="S49" s="140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7.25" customHeight="1">
      <c r="A50" s="114"/>
      <c r="C50" s="153">
        <f>SUM(C44:C49)</f>
        <v>311</v>
      </c>
      <c r="E50" s="153">
        <f>C50-20-17+40-59+8+2</f>
        <v>265</v>
      </c>
      <c r="G50" s="137" t="s">
        <v>32</v>
      </c>
      <c r="H50" s="16">
        <f t="shared" si="1"/>
        <v>25</v>
      </c>
      <c r="I50" s="16">
        <f>'行政'!E27</f>
        <v>3</v>
      </c>
      <c r="J50" s="16">
        <f>'行政'!E28</f>
        <v>2</v>
      </c>
      <c r="K50" s="60">
        <f>'行政'!E29</f>
        <v>4</v>
      </c>
      <c r="L50" s="16">
        <f>'行政'!E30</f>
        <v>0</v>
      </c>
      <c r="M50" s="16">
        <f>'行政'!E31</f>
        <v>7</v>
      </c>
      <c r="N50" s="130">
        <f>'行政'!E32</f>
        <v>8</v>
      </c>
      <c r="O50" s="154"/>
      <c r="P50" s="130">
        <f>'行政'!E33</f>
        <v>1</v>
      </c>
      <c r="S50" s="154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7.25" customHeight="1">
      <c r="A51" s="114"/>
      <c r="B51" s="23" t="s">
        <v>25</v>
      </c>
      <c r="C51" s="23">
        <v>10.0</v>
      </c>
      <c r="G51" s="35" t="s">
        <v>101</v>
      </c>
      <c r="H51" s="16">
        <f t="shared" si="1"/>
        <v>16</v>
      </c>
      <c r="I51" s="149"/>
      <c r="J51" s="149"/>
      <c r="K51" s="150"/>
      <c r="L51" s="149"/>
      <c r="M51" s="20" t="s">
        <v>14</v>
      </c>
      <c r="N51" s="130">
        <v>16.0</v>
      </c>
      <c r="O51" s="154"/>
      <c r="P51" s="140"/>
      <c r="S51" s="154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7.25" customHeight="1">
      <c r="A52" s="114"/>
      <c r="B52" s="23" t="s">
        <v>104</v>
      </c>
      <c r="C52" s="153">
        <f>C50+C51</f>
        <v>321</v>
      </c>
      <c r="G52" s="155" t="s">
        <v>328</v>
      </c>
      <c r="H52" s="16">
        <f t="shared" si="1"/>
        <v>60</v>
      </c>
      <c r="I52" s="16"/>
      <c r="J52" s="16"/>
      <c r="K52" s="16"/>
      <c r="L52" s="16"/>
      <c r="M52" s="20">
        <v>40.0</v>
      </c>
      <c r="N52" s="156"/>
      <c r="O52" s="157">
        <v>20.0</v>
      </c>
      <c r="P52" s="140"/>
      <c r="S52" s="13"/>
      <c r="T52" s="1"/>
      <c r="U52" s="1"/>
      <c r="V52" s="1"/>
      <c r="W52" s="1"/>
      <c r="X52" s="1"/>
      <c r="Y52" s="1"/>
      <c r="Z52" s="1"/>
      <c r="AA52" s="1"/>
      <c r="AB52" s="1"/>
      <c r="AC52" s="27"/>
      <c r="AD52" s="27"/>
      <c r="AE52" s="27"/>
    </row>
    <row r="53" ht="17.25" customHeight="1">
      <c r="A53" s="114"/>
      <c r="G53" s="42" t="s">
        <v>333</v>
      </c>
      <c r="H53" s="20">
        <v>122.0</v>
      </c>
      <c r="I53" s="149"/>
      <c r="J53" s="149"/>
      <c r="K53" s="150"/>
      <c r="L53" s="149"/>
      <c r="M53" s="20"/>
      <c r="O53" s="142"/>
      <c r="P53" s="140"/>
      <c r="S53" s="158">
        <v>130.0</v>
      </c>
      <c r="T53" s="1"/>
      <c r="U53" s="1"/>
      <c r="V53" s="1"/>
      <c r="W53" s="1"/>
      <c r="X53" s="1"/>
      <c r="Y53" s="1"/>
      <c r="Z53" s="1"/>
      <c r="AA53" s="1"/>
      <c r="AB53" s="1"/>
      <c r="AC53" s="27"/>
      <c r="AD53" s="27"/>
      <c r="AE53" s="27"/>
    </row>
    <row r="54" ht="17.25" customHeight="1">
      <c r="A54" s="114"/>
      <c r="G54" s="42" t="s">
        <v>336</v>
      </c>
      <c r="H54" s="20">
        <f>17+17+18+20</f>
        <v>72</v>
      </c>
      <c r="I54" s="149"/>
      <c r="J54" s="149"/>
      <c r="K54" s="150"/>
      <c r="L54" s="149"/>
      <c r="M54" s="20"/>
      <c r="N54" s="129"/>
      <c r="O54" s="142"/>
      <c r="P54" s="140"/>
      <c r="S54" s="159">
        <f>H54</f>
        <v>72</v>
      </c>
      <c r="T54" s="1"/>
      <c r="U54" s="1"/>
      <c r="V54" s="1"/>
      <c r="W54" s="1"/>
      <c r="X54" s="1"/>
      <c r="Y54" s="1"/>
      <c r="Z54" s="1"/>
      <c r="AA54" s="1"/>
      <c r="AB54" s="1"/>
      <c r="AC54" s="27"/>
      <c r="AD54" s="27"/>
      <c r="AE54" s="27"/>
    </row>
    <row r="55" ht="17.25" customHeight="1">
      <c r="A55" s="114"/>
      <c r="G55" s="20" t="s">
        <v>339</v>
      </c>
      <c r="I55" s="149"/>
      <c r="J55" s="149"/>
      <c r="K55" s="150"/>
      <c r="L55" s="149"/>
      <c r="M55" s="149"/>
      <c r="N55" s="129">
        <v>137.0</v>
      </c>
      <c r="O55" s="154"/>
      <c r="P55" s="140"/>
      <c r="S55" s="154"/>
      <c r="T55" s="1"/>
      <c r="U55" s="1"/>
      <c r="V55" s="1"/>
      <c r="W55" s="1"/>
      <c r="X55" s="1"/>
      <c r="Y55" s="1"/>
      <c r="Z55" s="1"/>
      <c r="AA55" s="1"/>
      <c r="AB55" s="1"/>
      <c r="AC55" s="27"/>
      <c r="AD55" s="27"/>
      <c r="AE55" s="27"/>
    </row>
    <row r="56" ht="21.0" customHeight="1">
      <c r="A56" s="114"/>
      <c r="B56" s="107"/>
      <c r="C56" s="107"/>
      <c r="D56" s="107"/>
      <c r="E56" s="1"/>
      <c r="F56" s="160"/>
      <c r="G56" s="1"/>
      <c r="I56" s="32">
        <f t="shared" ref="I56:P56" si="2">SUM(I45:I55)</f>
        <v>16</v>
      </c>
      <c r="J56" s="32">
        <f t="shared" si="2"/>
        <v>14</v>
      </c>
      <c r="K56" s="32">
        <f t="shared" si="2"/>
        <v>11</v>
      </c>
      <c r="L56" s="32">
        <f t="shared" si="2"/>
        <v>3</v>
      </c>
      <c r="M56" s="161">
        <f t="shared" si="2"/>
        <v>221</v>
      </c>
      <c r="N56" s="162">
        <f t="shared" si="2"/>
        <v>209</v>
      </c>
      <c r="O56" s="162">
        <f t="shared" si="2"/>
        <v>20</v>
      </c>
      <c r="P56" s="162">
        <f t="shared" si="2"/>
        <v>18</v>
      </c>
      <c r="Q56" s="153">
        <f>sum(I56:P56)</f>
        <v>512</v>
      </c>
      <c r="R56" s="23">
        <f>Q56-P56</f>
        <v>494</v>
      </c>
      <c r="S56" s="162">
        <f>SUM(S53:S54)</f>
        <v>202</v>
      </c>
      <c r="T56" s="1"/>
      <c r="U56" s="1"/>
      <c r="V56" s="1"/>
      <c r="W56" s="1"/>
      <c r="X56" s="1"/>
      <c r="Y56" s="1"/>
      <c r="Z56" s="1"/>
      <c r="AA56" s="1"/>
      <c r="AB56" s="1"/>
      <c r="AC56" s="27"/>
      <c r="AD56" s="27"/>
      <c r="AE56" s="27"/>
    </row>
    <row r="57" ht="21.0" customHeight="1">
      <c r="A57" s="114"/>
      <c r="B57" s="107"/>
      <c r="C57" s="107"/>
      <c r="D57" s="107"/>
      <c r="E57" s="1"/>
      <c r="F57" s="1"/>
      <c r="G57" s="164"/>
      <c r="I57" s="165">
        <f t="shared" ref="I57:K57" si="3">$M$56/($I56+$J56+$K56)*I56</f>
        <v>86.24390244</v>
      </c>
      <c r="J57" s="165">
        <f t="shared" si="3"/>
        <v>75.46341463</v>
      </c>
      <c r="K57" s="165">
        <f t="shared" si="3"/>
        <v>59.29268293</v>
      </c>
      <c r="L57" s="167">
        <f>sum(I57:K57)</f>
        <v>221</v>
      </c>
      <c r="M57" s="1"/>
      <c r="N57" s="1"/>
      <c r="O57" s="1"/>
      <c r="P57" s="1"/>
      <c r="Q57" s="1"/>
      <c r="S57" s="1"/>
      <c r="U57" s="1"/>
      <c r="V57" s="1"/>
      <c r="W57" s="1"/>
      <c r="X57" s="1"/>
      <c r="Y57" s="1"/>
      <c r="Z57" s="1"/>
      <c r="AA57" s="1"/>
      <c r="AB57" s="1"/>
      <c r="AC57" s="1"/>
      <c r="AD57" s="27"/>
      <c r="AE57" s="27"/>
      <c r="AF57" s="27"/>
    </row>
    <row r="58" ht="21.0" customHeight="1">
      <c r="A58" s="114"/>
      <c r="B58" s="107"/>
      <c r="C58" s="107"/>
      <c r="D58" s="107"/>
      <c r="E58" s="1"/>
      <c r="F58" s="1"/>
      <c r="I58" s="168">
        <f t="shared" ref="I58:K58" si="4">I57+I56</f>
        <v>102.2439024</v>
      </c>
      <c r="J58" s="168">
        <f t="shared" si="4"/>
        <v>89.46341463</v>
      </c>
      <c r="K58" s="168">
        <f t="shared" si="4"/>
        <v>70.29268293</v>
      </c>
      <c r="L58" s="169"/>
      <c r="M58" s="169"/>
      <c r="N58" s="169"/>
      <c r="O58" s="169"/>
      <c r="P58" s="169"/>
      <c r="Q58" s="164"/>
      <c r="R58" s="170"/>
      <c r="S58" s="1"/>
      <c r="U58" s="1"/>
      <c r="V58" s="1"/>
      <c r="W58" s="1"/>
      <c r="X58" s="1"/>
      <c r="Y58" s="1"/>
      <c r="Z58" s="1"/>
      <c r="AA58" s="1"/>
      <c r="AB58" s="1"/>
      <c r="AC58" s="1"/>
      <c r="AD58" s="27"/>
      <c r="AE58" s="27"/>
      <c r="AF58" s="27"/>
    </row>
    <row r="59" ht="21.0" customHeight="1">
      <c r="A59" s="114"/>
      <c r="B59" s="107"/>
      <c r="C59" s="107"/>
      <c r="D59" s="107"/>
      <c r="E59" s="1"/>
      <c r="F59" s="1"/>
      <c r="G59" s="173" t="s">
        <v>358</v>
      </c>
      <c r="H59" s="174">
        <f>sum(I56:M56)</f>
        <v>265</v>
      </c>
      <c r="J59" s="169"/>
      <c r="K59" s="169"/>
      <c r="L59" s="164"/>
      <c r="M59" s="169"/>
      <c r="N59" s="164"/>
      <c r="O59" s="169"/>
      <c r="P59" s="169"/>
      <c r="Q59" s="164"/>
      <c r="R59" s="170"/>
      <c r="S59" s="1"/>
      <c r="U59" s="1"/>
      <c r="V59" s="1"/>
      <c r="W59" s="1"/>
      <c r="X59" s="1"/>
      <c r="Y59" s="1"/>
      <c r="Z59" s="1"/>
      <c r="AA59" s="1"/>
      <c r="AB59" s="1"/>
      <c r="AC59" s="1"/>
      <c r="AD59" s="27"/>
      <c r="AE59" s="27"/>
      <c r="AF59" s="27"/>
    </row>
    <row r="60" ht="21.0" customHeight="1">
      <c r="A60" s="114"/>
      <c r="B60" s="107"/>
      <c r="C60" s="107"/>
      <c r="D60" s="107"/>
      <c r="E60" s="1"/>
      <c r="F60" s="1"/>
      <c r="G60" s="175" t="s">
        <v>369</v>
      </c>
      <c r="H60" s="176">
        <f>N56</f>
        <v>209</v>
      </c>
      <c r="I60" s="164"/>
      <c r="J60" s="164"/>
      <c r="K60" s="164"/>
      <c r="L60" s="164"/>
      <c r="M60" s="169"/>
      <c r="N60" s="164"/>
      <c r="O60" s="169"/>
      <c r="P60" s="169"/>
      <c r="Q60" s="164"/>
      <c r="R60" s="170"/>
      <c r="S60" s="1"/>
      <c r="U60" s="1"/>
      <c r="V60" s="1"/>
      <c r="W60" s="1"/>
      <c r="X60" s="1"/>
      <c r="Y60" s="1"/>
      <c r="Z60" s="1"/>
      <c r="AA60" s="1"/>
      <c r="AB60" s="1"/>
      <c r="AC60" s="1"/>
      <c r="AD60" s="27"/>
      <c r="AE60" s="27"/>
      <c r="AF60" s="27"/>
    </row>
    <row r="61" ht="21.0" customHeight="1">
      <c r="A61" s="114"/>
      <c r="B61" s="107"/>
      <c r="C61" s="107"/>
      <c r="D61" s="107"/>
      <c r="E61" s="1"/>
      <c r="F61" s="1"/>
      <c r="G61" s="177"/>
      <c r="H61" s="178">
        <f>SUM(H59:H60)</f>
        <v>474</v>
      </c>
      <c r="I61" s="164"/>
      <c r="J61" s="164"/>
      <c r="K61" s="164"/>
      <c r="L61" s="164"/>
      <c r="M61" s="169"/>
      <c r="N61" s="164"/>
      <c r="O61" s="169"/>
      <c r="P61" s="169"/>
      <c r="Q61" s="164"/>
      <c r="R61" s="170"/>
      <c r="S61" s="1"/>
      <c r="U61" s="1"/>
      <c r="V61" s="1"/>
      <c r="W61" s="1"/>
      <c r="X61" s="1"/>
      <c r="Y61" s="1"/>
      <c r="Z61" s="1"/>
      <c r="AA61" s="1"/>
      <c r="AB61" s="1"/>
      <c r="AC61" s="1"/>
      <c r="AD61" s="27"/>
      <c r="AE61" s="27"/>
      <c r="AF61" s="27"/>
    </row>
    <row r="62" ht="21.0" customHeight="1">
      <c r="A62" s="114"/>
      <c r="B62" s="107"/>
      <c r="C62" s="107"/>
      <c r="D62" s="107"/>
      <c r="E62" s="1"/>
      <c r="F62" s="179"/>
      <c r="G62" s="1"/>
      <c r="H62" s="1"/>
      <c r="R62" s="170"/>
      <c r="S62" s="1"/>
      <c r="U62" s="1"/>
      <c r="V62" s="1"/>
      <c r="W62" s="1"/>
      <c r="X62" s="1"/>
      <c r="Y62" s="1"/>
      <c r="Z62" s="1"/>
      <c r="AA62" s="1"/>
      <c r="AB62" s="1"/>
      <c r="AC62" s="1"/>
      <c r="AD62" s="27"/>
      <c r="AE62" s="27"/>
      <c r="AF62" s="27"/>
    </row>
    <row r="63" ht="21.0" customHeight="1">
      <c r="A63" s="114"/>
      <c r="B63" s="107"/>
      <c r="C63" s="107"/>
      <c r="D63" s="107"/>
      <c r="E63" s="1"/>
      <c r="F63" s="179"/>
      <c r="I63" s="180" t="s">
        <v>381</v>
      </c>
      <c r="J63" s="180" t="s">
        <v>382</v>
      </c>
      <c r="K63" s="180" t="s">
        <v>383</v>
      </c>
      <c r="L63" s="180" t="s">
        <v>384</v>
      </c>
      <c r="M63" s="181"/>
      <c r="N63" s="180" t="s">
        <v>301</v>
      </c>
      <c r="O63" s="181"/>
      <c r="P63" s="180" t="s">
        <v>303</v>
      </c>
      <c r="Q63" s="182" t="s">
        <v>386</v>
      </c>
      <c r="R63" s="1"/>
      <c r="S63" s="1"/>
      <c r="U63" s="1"/>
      <c r="V63" s="1"/>
      <c r="W63" s="1"/>
      <c r="X63" s="1"/>
      <c r="Y63" s="1"/>
      <c r="Z63" s="1"/>
      <c r="AA63" s="1"/>
      <c r="AB63" s="1"/>
      <c r="AC63" s="1"/>
      <c r="AD63" s="27"/>
      <c r="AE63" s="27"/>
      <c r="AF63" s="27"/>
    </row>
    <row r="64" ht="21.0" customHeight="1">
      <c r="A64" s="114"/>
      <c r="B64" s="107"/>
      <c r="C64" s="107"/>
      <c r="D64" s="107"/>
      <c r="E64" s="1"/>
      <c r="F64" s="179"/>
      <c r="H64" s="164" t="s">
        <v>389</v>
      </c>
      <c r="I64" s="183">
        <v>100.0</v>
      </c>
      <c r="J64" s="183">
        <v>80.0</v>
      </c>
      <c r="K64" s="183">
        <v>70.0</v>
      </c>
      <c r="L64" s="183">
        <v>5.0</v>
      </c>
      <c r="M64" s="184"/>
      <c r="N64" s="183">
        <v>200.0</v>
      </c>
      <c r="O64" s="184"/>
      <c r="P64" s="184"/>
      <c r="Q64" s="183">
        <v>70.0</v>
      </c>
      <c r="R64" s="1"/>
      <c r="S64" s="1"/>
      <c r="U64" s="1"/>
      <c r="V64" s="1"/>
      <c r="W64" s="1"/>
      <c r="X64" s="1"/>
      <c r="Y64" s="1"/>
      <c r="Z64" s="1"/>
      <c r="AA64" s="1"/>
      <c r="AB64" s="1"/>
      <c r="AC64" s="1"/>
      <c r="AD64" s="27"/>
      <c r="AE64" s="27"/>
      <c r="AF64" s="27"/>
    </row>
    <row r="65" ht="21.0" customHeight="1">
      <c r="A65" s="114"/>
      <c r="B65" s="107"/>
      <c r="C65" s="107"/>
      <c r="D65" s="107"/>
      <c r="E65" s="1"/>
      <c r="F65" s="179"/>
      <c r="G65" s="1"/>
      <c r="H65" s="164" t="s">
        <v>393</v>
      </c>
      <c r="I65" s="183"/>
      <c r="J65" s="183">
        <v>10.0</v>
      </c>
      <c r="K65" s="183">
        <v>10.0</v>
      </c>
      <c r="L65" s="183"/>
      <c r="M65" s="184"/>
      <c r="N65" s="183">
        <v>10.0</v>
      </c>
      <c r="O65" s="184"/>
      <c r="P65" s="183">
        <v>210.0</v>
      </c>
      <c r="Q65" s="183">
        <v>20.0</v>
      </c>
      <c r="R65" s="1"/>
      <c r="S65" s="1"/>
      <c r="U65" s="1"/>
      <c r="V65" s="1"/>
      <c r="W65" s="1"/>
      <c r="X65" s="1"/>
      <c r="Y65" s="1"/>
      <c r="Z65" s="1"/>
      <c r="AA65" s="1"/>
      <c r="AB65" s="1"/>
      <c r="AC65" s="1"/>
      <c r="AD65" s="27"/>
      <c r="AE65" s="27"/>
      <c r="AF65" s="27"/>
    </row>
    <row r="66" ht="21.0" customHeight="1">
      <c r="A66" s="114"/>
      <c r="B66" s="107"/>
      <c r="C66" s="107"/>
      <c r="D66" s="107"/>
      <c r="E66" s="1"/>
      <c r="F66" s="179"/>
      <c r="G66" s="1"/>
      <c r="H66" s="1"/>
      <c r="I66" s="174">
        <f>sum(I64:L65)</f>
        <v>275</v>
      </c>
      <c r="J66" s="1"/>
      <c r="K66" s="1"/>
      <c r="L66" s="1"/>
      <c r="M66" s="1"/>
      <c r="N66" s="185">
        <f>sum(N64:N65)</f>
        <v>210</v>
      </c>
      <c r="O66" s="1"/>
      <c r="P66" s="1"/>
      <c r="Q66" s="186">
        <v>90.0</v>
      </c>
      <c r="R66" s="1"/>
      <c r="S66" s="1"/>
      <c r="U66" s="1"/>
      <c r="V66" s="1"/>
      <c r="W66" s="1"/>
      <c r="X66" s="1"/>
      <c r="Y66" s="1"/>
      <c r="Z66" s="1"/>
      <c r="AA66" s="1"/>
      <c r="AB66" s="1"/>
      <c r="AC66" s="1"/>
      <c r="AD66" s="27"/>
      <c r="AE66" s="27"/>
      <c r="AF66" s="27"/>
    </row>
    <row r="67" ht="13.5" customHeight="1">
      <c r="A67" s="114"/>
      <c r="B67" s="107"/>
      <c r="C67" s="107"/>
      <c r="D67" s="1"/>
      <c r="E67" s="179"/>
      <c r="F67" s="18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7"/>
      <c r="AE67" s="27"/>
      <c r="AF67" s="27"/>
    </row>
    <row r="68" ht="13.5" customHeight="1">
      <c r="A68" s="114"/>
      <c r="B68" s="107"/>
      <c r="C68" s="107"/>
      <c r="D68" s="1"/>
      <c r="E68" s="1"/>
      <c r="F68" s="18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7"/>
      <c r="AE68" s="27"/>
      <c r="AF68" s="27"/>
    </row>
    <row r="69" ht="13.5" customHeight="1">
      <c r="A69" s="114"/>
      <c r="B69" s="107"/>
      <c r="C69" s="107"/>
      <c r="D69" s="1"/>
      <c r="E69" s="1"/>
      <c r="F69" s="187"/>
      <c r="G69" s="1"/>
      <c r="H69" s="1"/>
      <c r="I69" s="8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7"/>
      <c r="AE69" s="27"/>
      <c r="AF69" s="27"/>
    </row>
    <row r="70" ht="13.5" customHeight="1">
      <c r="A70" s="114"/>
      <c r="B70" s="107"/>
      <c r="C70" s="107"/>
      <c r="D70" s="1"/>
      <c r="E70" s="1"/>
      <c r="F70" s="187"/>
      <c r="G70" s="1"/>
      <c r="H70" s="1"/>
      <c r="I70" s="8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3.5" customHeight="1">
      <c r="A71" s="114"/>
      <c r="B71" s="107"/>
      <c r="C71" s="107"/>
      <c r="D71" s="1"/>
      <c r="E71" s="1"/>
      <c r="F71" s="187"/>
      <c r="G71" s="1"/>
      <c r="H71" s="1"/>
      <c r="I71" s="8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27"/>
    </row>
    <row r="72" ht="13.5" customHeight="1">
      <c r="A72" s="114"/>
      <c r="B72" s="107"/>
      <c r="C72" s="107"/>
      <c r="D72" s="1"/>
      <c r="E72" s="1"/>
      <c r="F72" s="187"/>
      <c r="G72" s="188" t="s">
        <v>415</v>
      </c>
      <c r="H72" s="69">
        <f>H42-P56</f>
        <v>281</v>
      </c>
      <c r="I72" s="8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27"/>
    </row>
    <row r="73" ht="13.5" customHeight="1">
      <c r="A73" s="114"/>
      <c r="B73" s="107"/>
      <c r="C73" s="107"/>
      <c r="D73" s="1"/>
      <c r="E73" s="1"/>
      <c r="F73" s="187"/>
      <c r="G73" s="188">
        <v>221.0</v>
      </c>
      <c r="H73" s="190">
        <v>16.0</v>
      </c>
      <c r="I73" s="8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27"/>
    </row>
    <row r="74" ht="13.5" customHeight="1">
      <c r="A74" s="114"/>
      <c r="B74" s="107"/>
      <c r="C74" s="107"/>
      <c r="D74" s="1"/>
      <c r="E74" s="1"/>
      <c r="F74" s="187"/>
      <c r="G74" s="188" t="s">
        <v>234</v>
      </c>
      <c r="H74" s="190">
        <v>60.0</v>
      </c>
      <c r="I74" s="8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27"/>
    </row>
    <row r="75" ht="13.5" customHeight="1">
      <c r="A75" s="114"/>
      <c r="B75" s="107"/>
      <c r="C75" s="107"/>
      <c r="D75" s="1"/>
      <c r="E75" s="1"/>
      <c r="F75" s="187"/>
      <c r="G75" s="188" t="s">
        <v>426</v>
      </c>
      <c r="H75" s="190"/>
      <c r="I75" s="8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27"/>
    </row>
    <row r="76" ht="13.5" customHeight="1">
      <c r="A76" s="114"/>
      <c r="B76" s="107"/>
      <c r="C76" s="107"/>
      <c r="D76" s="1"/>
      <c r="E76" s="1"/>
      <c r="F76" s="187"/>
      <c r="G76" s="188" t="s">
        <v>429</v>
      </c>
      <c r="H76" s="192">
        <v>137.0</v>
      </c>
      <c r="I76" s="8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27"/>
    </row>
    <row r="77" ht="13.5" customHeight="1">
      <c r="A77" s="114"/>
      <c r="B77" s="107"/>
      <c r="C77" s="107"/>
      <c r="D77" s="1"/>
      <c r="E77" s="1"/>
      <c r="F77" s="187"/>
      <c r="G77" s="1"/>
      <c r="H77" s="16">
        <f>SUM(H72:H76)</f>
        <v>494</v>
      </c>
      <c r="I77" s="8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27"/>
    </row>
    <row r="78" ht="13.5" customHeight="1">
      <c r="A78" s="114"/>
      <c r="B78" s="107"/>
      <c r="C78" s="107"/>
      <c r="D78" s="1"/>
      <c r="E78" s="1"/>
      <c r="F78" s="187"/>
      <c r="G78" s="1"/>
      <c r="H78" s="1"/>
      <c r="I78" s="8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27"/>
    </row>
    <row r="79" ht="13.5" customHeight="1">
      <c r="A79" s="114"/>
      <c r="B79" s="107"/>
      <c r="C79" s="107"/>
      <c r="D79" s="1"/>
      <c r="E79" s="1"/>
      <c r="F79" s="187"/>
      <c r="G79" s="188" t="s">
        <v>443</v>
      </c>
      <c r="H79" s="164">
        <v>20.0</v>
      </c>
      <c r="I79" s="8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27"/>
    </row>
    <row r="80" ht="13.5" customHeight="1">
      <c r="A80" s="114"/>
      <c r="B80" s="107"/>
      <c r="C80" s="107"/>
      <c r="D80" s="1"/>
      <c r="E80" s="1"/>
      <c r="F80" s="187"/>
      <c r="G80" s="188" t="s">
        <v>446</v>
      </c>
      <c r="H80" s="164">
        <f>255+15</f>
        <v>270</v>
      </c>
      <c r="I80" s="8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27"/>
    </row>
    <row r="81" ht="13.5" customHeight="1">
      <c r="A81" s="114"/>
      <c r="B81" s="107"/>
      <c r="C81" s="107"/>
      <c r="D81" s="1"/>
      <c r="E81" s="1"/>
      <c r="F81" s="187"/>
      <c r="G81" s="188" t="s">
        <v>301</v>
      </c>
      <c r="H81" s="164">
        <f>200+10</f>
        <v>210</v>
      </c>
      <c r="I81" s="169">
        <f>SUM(H79:H81)</f>
        <v>500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27"/>
    </row>
    <row r="82" ht="13.5" customHeight="1">
      <c r="A82" s="114"/>
      <c r="B82" s="107"/>
      <c r="C82" s="107"/>
      <c r="D82" s="1"/>
      <c r="E82" s="1"/>
      <c r="F82" s="187"/>
      <c r="G82" s="1"/>
      <c r="H82" s="169"/>
      <c r="I82" s="8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27"/>
    </row>
    <row r="83" ht="13.5" customHeight="1">
      <c r="A83" s="114"/>
      <c r="B83" s="107"/>
      <c r="C83" s="107"/>
      <c r="D83" s="1"/>
      <c r="E83" s="1"/>
      <c r="F83" s="187"/>
      <c r="G83" s="188" t="s">
        <v>285</v>
      </c>
      <c r="H83" s="164">
        <f>70+20</f>
        <v>90</v>
      </c>
      <c r="I83" s="8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27"/>
    </row>
    <row r="84" ht="13.5" customHeight="1">
      <c r="A84" s="114"/>
      <c r="B84" s="107"/>
      <c r="C84" s="107"/>
      <c r="D84" s="1"/>
      <c r="E84" s="1"/>
      <c r="F84" s="187"/>
      <c r="G84" s="1"/>
      <c r="H84" s="1"/>
      <c r="I84" s="8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27"/>
    </row>
    <row r="85" ht="13.5" customHeight="1">
      <c r="A85" s="114"/>
      <c r="B85" s="107"/>
      <c r="C85" s="107"/>
      <c r="D85" s="1"/>
      <c r="E85" s="1"/>
      <c r="F85" s="187"/>
      <c r="G85" s="1"/>
      <c r="H85" s="1"/>
      <c r="I85" s="8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27"/>
    </row>
    <row r="86" ht="13.5" customHeight="1">
      <c r="A86" s="114"/>
      <c r="B86" s="107"/>
      <c r="C86" s="107"/>
      <c r="D86" s="1"/>
      <c r="E86" s="1"/>
      <c r="F86" s="187"/>
      <c r="G86" s="1"/>
      <c r="H86" s="1"/>
      <c r="I86" s="8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27"/>
    </row>
    <row r="87" ht="13.5" customHeight="1">
      <c r="A87" s="114"/>
      <c r="B87" s="107"/>
      <c r="C87" s="107"/>
      <c r="D87" s="1"/>
      <c r="E87" s="1"/>
      <c r="F87" s="187"/>
      <c r="G87" s="1"/>
      <c r="H87" s="1"/>
      <c r="I87" s="8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27"/>
    </row>
    <row r="88" ht="13.5" customHeight="1">
      <c r="A88" s="114"/>
      <c r="B88" s="107"/>
      <c r="C88" s="107"/>
      <c r="D88" s="1"/>
      <c r="E88" s="1"/>
      <c r="F88" s="187"/>
      <c r="G88" s="1"/>
      <c r="H88" s="1"/>
      <c r="I88" s="8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27"/>
    </row>
    <row r="89" ht="13.5" customHeight="1">
      <c r="A89" s="114"/>
      <c r="B89" s="107"/>
      <c r="C89" s="107"/>
      <c r="D89" s="1"/>
      <c r="E89" s="1"/>
      <c r="F89" s="187"/>
      <c r="G89" s="1"/>
      <c r="H89" s="1"/>
      <c r="I89" s="8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27"/>
    </row>
    <row r="90" ht="13.5" customHeight="1">
      <c r="A90" s="114"/>
      <c r="B90" s="107"/>
      <c r="C90" s="107"/>
      <c r="D90" s="1"/>
      <c r="E90" s="1"/>
      <c r="F90" s="187"/>
      <c r="G90" s="1"/>
      <c r="H90" s="1"/>
      <c r="I90" s="8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27"/>
    </row>
    <row r="91" ht="13.5" customHeight="1">
      <c r="A91" s="114"/>
      <c r="B91" s="107"/>
      <c r="C91" s="107"/>
      <c r="D91" s="1"/>
      <c r="E91" s="1"/>
      <c r="F91" s="187"/>
      <c r="G91" s="1"/>
      <c r="H91" s="1"/>
      <c r="I91" s="8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27"/>
    </row>
    <row r="92" ht="13.5" customHeight="1">
      <c r="A92" s="114"/>
      <c r="B92" s="107"/>
      <c r="C92" s="107"/>
      <c r="D92" s="1"/>
      <c r="E92" s="1"/>
      <c r="F92" s="187"/>
      <c r="G92" s="1"/>
      <c r="H92" s="1"/>
      <c r="I92" s="8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27"/>
    </row>
    <row r="93" ht="13.5" customHeight="1">
      <c r="A93" s="114"/>
      <c r="B93" s="107"/>
      <c r="C93" s="107"/>
      <c r="D93" s="1"/>
      <c r="E93" s="1"/>
      <c r="F93" s="187"/>
      <c r="G93" s="1"/>
      <c r="H93" s="1"/>
      <c r="I93" s="8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27"/>
    </row>
    <row r="94" ht="13.5" customHeight="1">
      <c r="A94" s="114"/>
      <c r="B94" s="107"/>
      <c r="C94" s="107"/>
      <c r="D94" s="1"/>
      <c r="E94" s="1"/>
      <c r="F94" s="187"/>
      <c r="G94" s="1"/>
      <c r="H94" s="1"/>
      <c r="I94" s="8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27"/>
    </row>
    <row r="95" ht="13.5" customHeight="1">
      <c r="A95" s="114"/>
      <c r="B95" s="107"/>
      <c r="C95" s="107"/>
      <c r="D95" s="1"/>
      <c r="E95" s="1"/>
      <c r="F95" s="187"/>
      <c r="G95" s="1"/>
      <c r="H95" s="1"/>
      <c r="I95" s="8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27"/>
    </row>
    <row r="96" ht="13.5" customHeight="1">
      <c r="A96" s="114"/>
      <c r="B96" s="107"/>
      <c r="C96" s="107"/>
      <c r="D96" s="1"/>
      <c r="E96" s="1"/>
      <c r="F96" s="187"/>
      <c r="G96" s="1"/>
      <c r="H96" s="1"/>
      <c r="I96" s="8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27"/>
    </row>
    <row r="97" ht="13.5" customHeight="1">
      <c r="A97" s="114"/>
      <c r="B97" s="107"/>
      <c r="C97" s="107"/>
      <c r="D97" s="1"/>
      <c r="E97" s="1"/>
      <c r="F97" s="187"/>
      <c r="G97" s="1"/>
      <c r="H97" s="1"/>
      <c r="I97" s="8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27"/>
    </row>
    <row r="98" ht="13.5" customHeight="1">
      <c r="A98" s="114"/>
      <c r="B98" s="107"/>
      <c r="C98" s="107"/>
      <c r="D98" s="1"/>
      <c r="E98" s="1"/>
      <c r="F98" s="187"/>
      <c r="G98" s="1"/>
      <c r="H98" s="1"/>
      <c r="I98" s="8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27"/>
    </row>
    <row r="99" ht="13.5" customHeight="1">
      <c r="A99" s="114"/>
      <c r="B99" s="107"/>
      <c r="C99" s="107"/>
      <c r="D99" s="1"/>
      <c r="E99" s="1"/>
      <c r="F99" s="187"/>
      <c r="G99" s="1"/>
      <c r="H99" s="1"/>
      <c r="I99" s="8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27"/>
    </row>
    <row r="100" ht="13.5" customHeight="1">
      <c r="A100" s="114"/>
      <c r="B100" s="107"/>
      <c r="C100" s="107"/>
      <c r="D100" s="1"/>
      <c r="E100" s="1"/>
      <c r="F100" s="187"/>
      <c r="G100" s="1"/>
      <c r="H100" s="1"/>
      <c r="I100" s="8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27"/>
    </row>
    <row r="101" ht="13.5" customHeight="1">
      <c r="A101" s="114"/>
      <c r="B101" s="107"/>
      <c r="C101" s="107"/>
      <c r="D101" s="1"/>
      <c r="E101" s="1"/>
      <c r="F101" s="187"/>
      <c r="G101" s="1"/>
      <c r="H101" s="1"/>
      <c r="I101" s="8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27"/>
    </row>
    <row r="102" ht="13.5" customHeight="1">
      <c r="A102" s="114"/>
      <c r="B102" s="107"/>
      <c r="C102" s="107"/>
      <c r="D102" s="1"/>
      <c r="E102" s="1"/>
      <c r="F102" s="187"/>
      <c r="G102" s="1"/>
      <c r="H102" s="1"/>
      <c r="I102" s="8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27"/>
    </row>
    <row r="103" ht="13.5" customHeight="1">
      <c r="A103" s="114"/>
      <c r="B103" s="107"/>
      <c r="C103" s="107"/>
      <c r="D103" s="1"/>
      <c r="E103" s="1"/>
      <c r="F103" s="187"/>
      <c r="G103" s="1"/>
      <c r="H103" s="1"/>
      <c r="I103" s="8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27"/>
    </row>
    <row r="104" ht="13.5" customHeight="1">
      <c r="A104" s="114"/>
      <c r="B104" s="107"/>
      <c r="C104" s="107"/>
      <c r="D104" s="1"/>
      <c r="E104" s="1"/>
      <c r="F104" s="187"/>
      <c r="G104" s="1"/>
      <c r="H104" s="1"/>
      <c r="I104" s="8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27"/>
    </row>
    <row r="105" ht="13.5" customHeight="1">
      <c r="A105" s="114"/>
      <c r="B105" s="107"/>
      <c r="C105" s="107"/>
      <c r="D105" s="1"/>
      <c r="E105" s="1"/>
      <c r="F105" s="187"/>
      <c r="G105" s="1"/>
      <c r="H105" s="1"/>
      <c r="I105" s="8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27"/>
    </row>
    <row r="106" ht="13.5" customHeight="1">
      <c r="A106" s="114"/>
      <c r="B106" s="107"/>
      <c r="C106" s="107"/>
      <c r="D106" s="1"/>
      <c r="E106" s="1"/>
      <c r="F106" s="187"/>
      <c r="G106" s="1"/>
      <c r="H106" s="1"/>
      <c r="I106" s="8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27"/>
    </row>
    <row r="107" ht="13.5" customHeight="1">
      <c r="A107" s="114"/>
      <c r="B107" s="107"/>
      <c r="C107" s="107"/>
      <c r="D107" s="1"/>
      <c r="E107" s="1"/>
      <c r="F107" s="187"/>
      <c r="G107" s="1"/>
      <c r="H107" s="1"/>
      <c r="I107" s="8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27"/>
    </row>
    <row r="108" ht="13.5" customHeight="1">
      <c r="A108" s="114"/>
      <c r="B108" s="107"/>
      <c r="C108" s="107"/>
      <c r="D108" s="1"/>
      <c r="E108" s="1"/>
      <c r="F108" s="187"/>
      <c r="G108" s="1"/>
      <c r="H108" s="1"/>
      <c r="I108" s="8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27"/>
    </row>
    <row r="109" ht="13.5" customHeight="1">
      <c r="A109" s="114"/>
      <c r="B109" s="107"/>
      <c r="C109" s="107"/>
      <c r="D109" s="1"/>
      <c r="E109" s="1"/>
      <c r="F109" s="187"/>
      <c r="G109" s="1"/>
      <c r="H109" s="1"/>
      <c r="I109" s="8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27"/>
    </row>
    <row r="110" ht="13.5" customHeight="1">
      <c r="A110" s="114"/>
      <c r="B110" s="107"/>
      <c r="C110" s="107"/>
      <c r="D110" s="1"/>
      <c r="E110" s="1"/>
      <c r="F110" s="187"/>
      <c r="G110" s="1"/>
      <c r="H110" s="1"/>
      <c r="I110" s="8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27"/>
    </row>
    <row r="111" ht="13.5" customHeight="1">
      <c r="A111" s="114"/>
      <c r="B111" s="107"/>
      <c r="C111" s="107"/>
      <c r="D111" s="1"/>
      <c r="E111" s="1"/>
      <c r="F111" s="187"/>
      <c r="G111" s="1"/>
      <c r="H111" s="1"/>
      <c r="I111" s="8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27"/>
    </row>
    <row r="112" ht="13.5" customHeight="1">
      <c r="A112" s="114"/>
      <c r="B112" s="107"/>
      <c r="C112" s="107"/>
      <c r="D112" s="1"/>
      <c r="E112" s="1"/>
      <c r="F112" s="187"/>
      <c r="G112" s="1"/>
      <c r="H112" s="1"/>
      <c r="I112" s="8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27"/>
    </row>
    <row r="113" ht="13.5" customHeight="1">
      <c r="A113" s="114"/>
      <c r="B113" s="107"/>
      <c r="C113" s="107"/>
      <c r="D113" s="1"/>
      <c r="E113" s="1"/>
      <c r="F113" s="187"/>
      <c r="G113" s="1"/>
      <c r="H113" s="1"/>
      <c r="I113" s="8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27"/>
    </row>
    <row r="114" ht="13.5" customHeight="1">
      <c r="A114" s="114"/>
      <c r="B114" s="107"/>
      <c r="C114" s="107"/>
      <c r="D114" s="1"/>
      <c r="E114" s="1"/>
      <c r="F114" s="187"/>
      <c r="G114" s="1"/>
      <c r="H114" s="1"/>
      <c r="I114" s="8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27"/>
    </row>
    <row r="115" ht="13.5" customHeight="1">
      <c r="A115" s="114"/>
      <c r="B115" s="107"/>
      <c r="C115" s="107"/>
      <c r="D115" s="1"/>
      <c r="E115" s="1"/>
      <c r="F115" s="187"/>
      <c r="G115" s="1"/>
      <c r="H115" s="1"/>
      <c r="I115" s="8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27"/>
    </row>
    <row r="116" ht="13.5" customHeight="1">
      <c r="A116" s="114"/>
      <c r="B116" s="107"/>
      <c r="C116" s="107"/>
      <c r="D116" s="1"/>
      <c r="E116" s="1"/>
      <c r="F116" s="187"/>
      <c r="G116" s="1"/>
      <c r="H116" s="1"/>
      <c r="I116" s="8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27"/>
    </row>
    <row r="117" ht="13.5" customHeight="1">
      <c r="A117" s="114"/>
      <c r="B117" s="107"/>
      <c r="C117" s="107"/>
      <c r="D117" s="1"/>
      <c r="E117" s="1"/>
      <c r="F117" s="187"/>
      <c r="G117" s="1"/>
      <c r="H117" s="1"/>
      <c r="I117" s="8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27"/>
    </row>
    <row r="118" ht="13.5" customHeight="1">
      <c r="A118" s="114"/>
      <c r="B118" s="107"/>
      <c r="C118" s="107"/>
      <c r="D118" s="1"/>
      <c r="E118" s="1"/>
      <c r="F118" s="187"/>
      <c r="G118" s="1"/>
      <c r="H118" s="1"/>
      <c r="I118" s="8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27"/>
    </row>
    <row r="119" ht="13.5" customHeight="1">
      <c r="A119" s="114"/>
      <c r="B119" s="107"/>
      <c r="C119" s="107"/>
      <c r="D119" s="1"/>
      <c r="E119" s="1"/>
      <c r="F119" s="187"/>
      <c r="G119" s="1"/>
      <c r="H119" s="1"/>
      <c r="I119" s="8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27"/>
    </row>
    <row r="120" ht="13.5" customHeight="1">
      <c r="A120" s="114"/>
      <c r="B120" s="107"/>
      <c r="C120" s="107"/>
      <c r="D120" s="1"/>
      <c r="E120" s="1"/>
      <c r="F120" s="187"/>
      <c r="G120" s="1"/>
      <c r="H120" s="1"/>
      <c r="I120" s="8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27"/>
    </row>
    <row r="121" ht="13.5" customHeight="1">
      <c r="A121" s="114"/>
      <c r="B121" s="107"/>
      <c r="C121" s="107"/>
      <c r="D121" s="1"/>
      <c r="E121" s="1"/>
      <c r="F121" s="187"/>
      <c r="G121" s="1"/>
      <c r="H121" s="1"/>
      <c r="I121" s="8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27"/>
    </row>
    <row r="122" ht="13.5" customHeight="1">
      <c r="A122" s="114"/>
      <c r="B122" s="107"/>
      <c r="C122" s="107"/>
      <c r="D122" s="1"/>
      <c r="E122" s="1"/>
      <c r="F122" s="187"/>
      <c r="G122" s="1"/>
      <c r="H122" s="1"/>
      <c r="I122" s="8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27"/>
    </row>
    <row r="123" ht="13.5" customHeight="1">
      <c r="A123" s="114"/>
      <c r="B123" s="107"/>
      <c r="C123" s="107"/>
      <c r="D123" s="1"/>
      <c r="E123" s="1"/>
      <c r="F123" s="187"/>
      <c r="G123" s="1"/>
      <c r="H123" s="1"/>
      <c r="I123" s="8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27"/>
    </row>
    <row r="124" ht="13.5" customHeight="1">
      <c r="A124" s="114"/>
      <c r="B124" s="107"/>
      <c r="C124" s="107"/>
      <c r="D124" s="1"/>
      <c r="E124" s="1"/>
      <c r="F124" s="187"/>
      <c r="G124" s="1"/>
      <c r="H124" s="1"/>
      <c r="I124" s="8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27"/>
    </row>
    <row r="125" ht="13.5" customHeight="1">
      <c r="A125" s="114"/>
      <c r="B125" s="107"/>
      <c r="C125" s="107"/>
      <c r="D125" s="1"/>
      <c r="E125" s="1"/>
      <c r="F125" s="187"/>
      <c r="G125" s="1"/>
      <c r="H125" s="1"/>
      <c r="I125" s="8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27"/>
    </row>
    <row r="126" ht="13.5" customHeight="1">
      <c r="A126" s="114"/>
      <c r="B126" s="107"/>
      <c r="C126" s="107"/>
      <c r="D126" s="1"/>
      <c r="E126" s="1"/>
      <c r="F126" s="187"/>
      <c r="G126" s="1"/>
      <c r="H126" s="1"/>
      <c r="I126" s="8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27"/>
    </row>
    <row r="127" ht="13.5" customHeight="1">
      <c r="A127" s="114"/>
      <c r="B127" s="107"/>
      <c r="C127" s="107"/>
      <c r="D127" s="1"/>
      <c r="E127" s="1"/>
      <c r="F127" s="187"/>
      <c r="G127" s="1"/>
      <c r="H127" s="1"/>
      <c r="I127" s="8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27"/>
    </row>
    <row r="128" ht="13.5" customHeight="1">
      <c r="A128" s="114"/>
      <c r="B128" s="107"/>
      <c r="C128" s="107"/>
      <c r="D128" s="1"/>
      <c r="E128" s="1"/>
      <c r="F128" s="187"/>
      <c r="G128" s="1"/>
      <c r="H128" s="1"/>
      <c r="I128" s="8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27"/>
    </row>
    <row r="129" ht="13.5" customHeight="1">
      <c r="A129" s="114"/>
      <c r="B129" s="107"/>
      <c r="C129" s="107"/>
      <c r="D129" s="1"/>
      <c r="E129" s="1"/>
      <c r="F129" s="187"/>
      <c r="G129" s="1"/>
      <c r="H129" s="1"/>
      <c r="I129" s="8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27"/>
    </row>
    <row r="130" ht="13.5" customHeight="1">
      <c r="A130" s="114"/>
      <c r="B130" s="107"/>
      <c r="C130" s="107"/>
      <c r="D130" s="1"/>
      <c r="E130" s="1"/>
      <c r="F130" s="187"/>
      <c r="G130" s="1"/>
      <c r="H130" s="1"/>
      <c r="I130" s="8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27"/>
    </row>
    <row r="131" ht="13.5" customHeight="1">
      <c r="A131" s="114"/>
      <c r="B131" s="107"/>
      <c r="C131" s="107"/>
      <c r="D131" s="1"/>
      <c r="E131" s="1"/>
      <c r="F131" s="187"/>
      <c r="G131" s="1"/>
      <c r="H131" s="1"/>
      <c r="I131" s="8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27"/>
    </row>
    <row r="132" ht="13.5" customHeight="1">
      <c r="A132" s="114"/>
      <c r="B132" s="107"/>
      <c r="C132" s="107"/>
      <c r="D132" s="1"/>
      <c r="E132" s="1"/>
      <c r="F132" s="187"/>
      <c r="G132" s="1"/>
      <c r="H132" s="1"/>
      <c r="I132" s="8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27"/>
    </row>
    <row r="133" ht="13.5" customHeight="1">
      <c r="A133" s="114"/>
      <c r="B133" s="107"/>
      <c r="C133" s="107"/>
      <c r="D133" s="1"/>
      <c r="E133" s="1"/>
      <c r="F133" s="187"/>
      <c r="G133" s="1"/>
      <c r="H133" s="1"/>
      <c r="I133" s="8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27"/>
    </row>
    <row r="134" ht="13.5" customHeight="1">
      <c r="A134" s="114"/>
      <c r="B134" s="107"/>
      <c r="C134" s="107"/>
      <c r="D134" s="1"/>
      <c r="E134" s="1"/>
      <c r="F134" s="187"/>
      <c r="G134" s="1"/>
      <c r="H134" s="1"/>
      <c r="I134" s="8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27"/>
    </row>
    <row r="135" ht="13.5" customHeight="1">
      <c r="A135" s="114"/>
      <c r="B135" s="107"/>
      <c r="C135" s="107"/>
      <c r="D135" s="1"/>
      <c r="E135" s="1"/>
      <c r="F135" s="187"/>
      <c r="G135" s="1"/>
      <c r="H135" s="1"/>
      <c r="I135" s="8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27"/>
    </row>
    <row r="136" ht="13.5" customHeight="1">
      <c r="A136" s="114"/>
      <c r="B136" s="107"/>
      <c r="C136" s="107"/>
      <c r="D136" s="1"/>
      <c r="E136" s="1"/>
      <c r="F136" s="187"/>
      <c r="G136" s="1"/>
      <c r="H136" s="1"/>
      <c r="I136" s="8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27"/>
    </row>
    <row r="137" ht="13.5" customHeight="1">
      <c r="A137" s="114"/>
      <c r="B137" s="107"/>
      <c r="C137" s="107"/>
      <c r="D137" s="1"/>
      <c r="E137" s="1"/>
      <c r="F137" s="187"/>
      <c r="G137" s="1"/>
      <c r="H137" s="1"/>
      <c r="I137" s="8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27"/>
    </row>
    <row r="138" ht="13.5" customHeight="1">
      <c r="A138" s="114"/>
      <c r="B138" s="107"/>
      <c r="C138" s="107"/>
      <c r="D138" s="1"/>
      <c r="E138" s="1"/>
      <c r="F138" s="187"/>
      <c r="G138" s="1"/>
      <c r="H138" s="1"/>
      <c r="I138" s="8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27"/>
    </row>
    <row r="139" ht="13.5" customHeight="1">
      <c r="A139" s="114"/>
      <c r="B139" s="107"/>
      <c r="C139" s="107"/>
      <c r="D139" s="1"/>
      <c r="E139" s="1"/>
      <c r="F139" s="187"/>
      <c r="G139" s="1"/>
      <c r="H139" s="1"/>
      <c r="I139" s="8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27"/>
    </row>
    <row r="140" ht="13.5" customHeight="1">
      <c r="A140" s="114"/>
      <c r="B140" s="107"/>
      <c r="C140" s="107"/>
      <c r="D140" s="1"/>
      <c r="E140" s="1"/>
      <c r="F140" s="187"/>
      <c r="G140" s="1"/>
      <c r="H140" s="1"/>
      <c r="I140" s="8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27"/>
    </row>
    <row r="141" ht="13.5" customHeight="1">
      <c r="A141" s="114"/>
      <c r="B141" s="107"/>
      <c r="C141" s="107"/>
      <c r="D141" s="1"/>
      <c r="E141" s="1"/>
      <c r="F141" s="187"/>
      <c r="G141" s="1"/>
      <c r="H141" s="1"/>
      <c r="I141" s="8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27"/>
    </row>
    <row r="142" ht="13.5" customHeight="1">
      <c r="A142" s="114"/>
      <c r="B142" s="107"/>
      <c r="C142" s="107"/>
      <c r="D142" s="1"/>
      <c r="E142" s="1"/>
      <c r="F142" s="187"/>
      <c r="G142" s="1"/>
      <c r="H142" s="1"/>
      <c r="I142" s="8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27"/>
    </row>
    <row r="143" ht="13.5" customHeight="1">
      <c r="A143" s="114"/>
      <c r="B143" s="107"/>
      <c r="C143" s="107"/>
      <c r="D143" s="1"/>
      <c r="E143" s="1"/>
      <c r="F143" s="187"/>
      <c r="G143" s="1"/>
      <c r="H143" s="1"/>
      <c r="I143" s="8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27"/>
    </row>
    <row r="144" ht="13.5" customHeight="1">
      <c r="A144" s="114"/>
      <c r="B144" s="107"/>
      <c r="C144" s="107"/>
      <c r="D144" s="1"/>
      <c r="E144" s="1"/>
      <c r="F144" s="187"/>
      <c r="G144" s="1"/>
      <c r="H144" s="1"/>
      <c r="I144" s="8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27"/>
    </row>
    <row r="145" ht="13.5" customHeight="1">
      <c r="A145" s="114"/>
      <c r="B145" s="107"/>
      <c r="C145" s="107"/>
      <c r="D145" s="1"/>
      <c r="E145" s="1"/>
      <c r="F145" s="187"/>
      <c r="G145" s="1"/>
      <c r="H145" s="1"/>
      <c r="I145" s="8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27"/>
    </row>
    <row r="146" ht="13.5" customHeight="1">
      <c r="A146" s="114"/>
      <c r="B146" s="107"/>
      <c r="C146" s="107"/>
      <c r="D146" s="1"/>
      <c r="E146" s="1"/>
      <c r="F146" s="187"/>
      <c r="G146" s="1"/>
      <c r="H146" s="1"/>
      <c r="I146" s="8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27"/>
    </row>
    <row r="147" ht="13.5" customHeight="1">
      <c r="A147" s="114"/>
      <c r="B147" s="107"/>
      <c r="C147" s="107"/>
      <c r="D147" s="1"/>
      <c r="E147" s="1"/>
      <c r="F147" s="187"/>
      <c r="G147" s="1"/>
      <c r="H147" s="1"/>
      <c r="I147" s="8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27"/>
    </row>
    <row r="148" ht="13.5" customHeight="1">
      <c r="A148" s="114"/>
      <c r="B148" s="107"/>
      <c r="C148" s="107"/>
      <c r="D148" s="1"/>
      <c r="E148" s="1"/>
      <c r="F148" s="187"/>
      <c r="G148" s="1"/>
      <c r="H148" s="1"/>
      <c r="I148" s="8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27"/>
    </row>
    <row r="149" ht="13.5" customHeight="1">
      <c r="A149" s="114"/>
      <c r="B149" s="107"/>
      <c r="C149" s="107"/>
      <c r="D149" s="1"/>
      <c r="E149" s="1"/>
      <c r="F149" s="187"/>
      <c r="G149" s="1"/>
      <c r="H149" s="1"/>
      <c r="I149" s="8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27"/>
    </row>
    <row r="150" ht="13.5" customHeight="1">
      <c r="A150" s="114"/>
      <c r="B150" s="107"/>
      <c r="C150" s="107"/>
      <c r="D150" s="1"/>
      <c r="E150" s="1"/>
      <c r="F150" s="187"/>
      <c r="G150" s="1"/>
      <c r="H150" s="1"/>
      <c r="I150" s="8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27"/>
    </row>
    <row r="151" ht="13.5" customHeight="1">
      <c r="A151" s="114"/>
      <c r="B151" s="107"/>
      <c r="C151" s="107"/>
      <c r="D151" s="1"/>
      <c r="E151" s="1"/>
      <c r="F151" s="187"/>
      <c r="G151" s="1"/>
      <c r="H151" s="1"/>
      <c r="I151" s="8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27"/>
    </row>
    <row r="152" ht="13.5" customHeight="1">
      <c r="A152" s="114"/>
      <c r="B152" s="107"/>
      <c r="C152" s="107"/>
      <c r="D152" s="1"/>
      <c r="E152" s="1"/>
      <c r="F152" s="187"/>
      <c r="G152" s="1"/>
      <c r="H152" s="1"/>
      <c r="I152" s="8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27"/>
    </row>
    <row r="153" ht="13.5" customHeight="1">
      <c r="A153" s="114"/>
      <c r="B153" s="107"/>
      <c r="C153" s="107"/>
      <c r="D153" s="1"/>
      <c r="E153" s="1"/>
      <c r="F153" s="187"/>
      <c r="G153" s="1"/>
      <c r="H153" s="1"/>
      <c r="I153" s="8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7"/>
    </row>
    <row r="154" ht="13.5" customHeight="1">
      <c r="A154" s="114"/>
      <c r="B154" s="107"/>
      <c r="C154" s="107"/>
      <c r="D154" s="1"/>
      <c r="E154" s="1"/>
      <c r="F154" s="187"/>
      <c r="G154" s="1"/>
      <c r="H154" s="1"/>
      <c r="I154" s="8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27"/>
    </row>
    <row r="155" ht="13.5" customHeight="1">
      <c r="A155" s="114"/>
      <c r="B155" s="107"/>
      <c r="C155" s="107"/>
      <c r="D155" s="1"/>
      <c r="E155" s="1"/>
      <c r="F155" s="187"/>
      <c r="G155" s="1"/>
      <c r="H155" s="1"/>
      <c r="I155" s="8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27"/>
    </row>
    <row r="156" ht="13.5" customHeight="1">
      <c r="A156" s="114"/>
      <c r="B156" s="107"/>
      <c r="C156" s="107"/>
      <c r="D156" s="1"/>
      <c r="E156" s="1"/>
      <c r="F156" s="187"/>
      <c r="G156" s="1"/>
      <c r="H156" s="1"/>
      <c r="I156" s="8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27"/>
    </row>
    <row r="157" ht="13.5" customHeight="1">
      <c r="A157" s="114"/>
      <c r="B157" s="107"/>
      <c r="C157" s="107"/>
      <c r="D157" s="1"/>
      <c r="E157" s="1"/>
      <c r="F157" s="187"/>
      <c r="G157" s="1"/>
      <c r="H157" s="1"/>
      <c r="I157" s="8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27"/>
    </row>
    <row r="158" ht="13.5" customHeight="1">
      <c r="A158" s="114"/>
      <c r="B158" s="107"/>
      <c r="C158" s="107"/>
      <c r="D158" s="1"/>
      <c r="E158" s="1"/>
      <c r="F158" s="187"/>
      <c r="G158" s="1"/>
      <c r="H158" s="1"/>
      <c r="I158" s="8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27"/>
    </row>
    <row r="159" ht="13.5" customHeight="1">
      <c r="A159" s="114"/>
      <c r="B159" s="107"/>
      <c r="C159" s="107"/>
      <c r="D159" s="1"/>
      <c r="E159" s="1"/>
      <c r="F159" s="187"/>
      <c r="G159" s="1"/>
      <c r="H159" s="1"/>
      <c r="I159" s="8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27"/>
    </row>
    <row r="160" ht="13.5" customHeight="1">
      <c r="A160" s="114"/>
      <c r="B160" s="107"/>
      <c r="C160" s="107"/>
      <c r="D160" s="1"/>
      <c r="E160" s="1"/>
      <c r="F160" s="187"/>
      <c r="G160" s="1"/>
      <c r="H160" s="1"/>
      <c r="I160" s="8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27"/>
    </row>
    <row r="161" ht="13.5" customHeight="1">
      <c r="A161" s="114"/>
      <c r="B161" s="107"/>
      <c r="C161" s="107"/>
      <c r="D161" s="1"/>
      <c r="E161" s="1"/>
      <c r="F161" s="187"/>
      <c r="G161" s="1"/>
      <c r="H161" s="1"/>
      <c r="I161" s="8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27"/>
    </row>
    <row r="162" ht="13.5" customHeight="1">
      <c r="A162" s="114"/>
      <c r="B162" s="107"/>
      <c r="C162" s="107"/>
      <c r="D162" s="1"/>
      <c r="E162" s="1"/>
      <c r="F162" s="187"/>
      <c r="G162" s="1"/>
      <c r="H162" s="1"/>
      <c r="I162" s="8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27"/>
    </row>
    <row r="163" ht="13.5" customHeight="1">
      <c r="A163" s="114"/>
      <c r="B163" s="107"/>
      <c r="C163" s="107"/>
      <c r="D163" s="1"/>
      <c r="E163" s="1"/>
      <c r="F163" s="187"/>
      <c r="G163" s="1"/>
      <c r="H163" s="1"/>
      <c r="I163" s="8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27"/>
    </row>
    <row r="164" ht="13.5" customHeight="1">
      <c r="A164" s="114"/>
      <c r="B164" s="107"/>
      <c r="C164" s="107"/>
      <c r="D164" s="1"/>
      <c r="E164" s="1"/>
      <c r="F164" s="187"/>
      <c r="G164" s="1"/>
      <c r="H164" s="1"/>
      <c r="I164" s="8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27"/>
    </row>
    <row r="165" ht="13.5" customHeight="1">
      <c r="A165" s="114"/>
      <c r="B165" s="107"/>
      <c r="C165" s="107"/>
      <c r="D165" s="1"/>
      <c r="E165" s="1"/>
      <c r="F165" s="187"/>
      <c r="G165" s="1"/>
      <c r="H165" s="1"/>
      <c r="I165" s="8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27"/>
    </row>
    <row r="166" ht="13.5" customHeight="1">
      <c r="A166" s="114"/>
      <c r="B166" s="107"/>
      <c r="C166" s="107"/>
      <c r="D166" s="1"/>
      <c r="E166" s="1"/>
      <c r="F166" s="187"/>
      <c r="G166" s="1"/>
      <c r="H166" s="1"/>
      <c r="I166" s="8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27"/>
    </row>
    <row r="167" ht="13.5" customHeight="1">
      <c r="A167" s="114"/>
      <c r="B167" s="107"/>
      <c r="C167" s="107"/>
      <c r="D167" s="1"/>
      <c r="E167" s="1"/>
      <c r="F167" s="187"/>
      <c r="G167" s="1"/>
      <c r="H167" s="1"/>
      <c r="I167" s="8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27"/>
    </row>
    <row r="168" ht="13.5" customHeight="1">
      <c r="A168" s="114"/>
      <c r="B168" s="107"/>
      <c r="C168" s="107"/>
      <c r="D168" s="1"/>
      <c r="E168" s="1"/>
      <c r="F168" s="187"/>
      <c r="G168" s="1"/>
      <c r="H168" s="1"/>
      <c r="I168" s="8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27"/>
    </row>
    <row r="169" ht="13.5" customHeight="1">
      <c r="A169" s="114"/>
      <c r="B169" s="107"/>
      <c r="C169" s="107"/>
      <c r="D169" s="1"/>
      <c r="E169" s="1"/>
      <c r="F169" s="187"/>
      <c r="G169" s="1"/>
      <c r="H169" s="1"/>
      <c r="I169" s="8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27"/>
    </row>
    <row r="170" ht="13.5" customHeight="1">
      <c r="A170" s="114"/>
      <c r="B170" s="107"/>
      <c r="C170" s="107"/>
      <c r="D170" s="1"/>
      <c r="E170" s="1"/>
      <c r="F170" s="187"/>
      <c r="G170" s="1"/>
      <c r="H170" s="1"/>
      <c r="I170" s="8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27"/>
    </row>
    <row r="171" ht="13.5" customHeight="1">
      <c r="A171" s="114"/>
      <c r="B171" s="107"/>
      <c r="C171" s="107"/>
      <c r="D171" s="1"/>
      <c r="E171" s="1"/>
      <c r="F171" s="187"/>
      <c r="G171" s="1"/>
      <c r="H171" s="1"/>
      <c r="I171" s="8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27"/>
    </row>
    <row r="172" ht="13.5" customHeight="1">
      <c r="A172" s="114"/>
      <c r="B172" s="107"/>
      <c r="C172" s="107"/>
      <c r="D172" s="1"/>
      <c r="E172" s="1"/>
      <c r="F172" s="187"/>
      <c r="G172" s="1"/>
      <c r="H172" s="1"/>
      <c r="I172" s="8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27"/>
    </row>
    <row r="173" ht="13.5" customHeight="1">
      <c r="A173" s="114"/>
      <c r="B173" s="107"/>
      <c r="C173" s="107"/>
      <c r="D173" s="1"/>
      <c r="E173" s="1"/>
      <c r="F173" s="187"/>
      <c r="G173" s="1"/>
      <c r="H173" s="1"/>
      <c r="I173" s="8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27"/>
    </row>
    <row r="174" ht="13.5" customHeight="1">
      <c r="A174" s="114"/>
      <c r="B174" s="107"/>
      <c r="C174" s="107"/>
      <c r="D174" s="1"/>
      <c r="E174" s="1"/>
      <c r="F174" s="187"/>
      <c r="G174" s="1"/>
      <c r="H174" s="1"/>
      <c r="I174" s="8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27"/>
    </row>
    <row r="175" ht="13.5" customHeight="1">
      <c r="A175" s="114"/>
      <c r="B175" s="107"/>
      <c r="C175" s="107"/>
      <c r="D175" s="1"/>
      <c r="E175" s="1"/>
      <c r="F175" s="187"/>
      <c r="G175" s="1"/>
      <c r="H175" s="1"/>
      <c r="I175" s="8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27"/>
    </row>
    <row r="176" ht="13.5" customHeight="1">
      <c r="A176" s="114"/>
      <c r="B176" s="107"/>
      <c r="C176" s="107"/>
      <c r="D176" s="1"/>
      <c r="E176" s="1"/>
      <c r="F176" s="187"/>
      <c r="G176" s="1"/>
      <c r="H176" s="1"/>
      <c r="I176" s="8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27"/>
    </row>
    <row r="177" ht="13.5" customHeight="1">
      <c r="A177" s="114"/>
      <c r="B177" s="107"/>
      <c r="C177" s="107"/>
      <c r="D177" s="1"/>
      <c r="E177" s="1"/>
      <c r="F177" s="187"/>
      <c r="G177" s="1"/>
      <c r="H177" s="1"/>
      <c r="I177" s="8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27"/>
    </row>
    <row r="178" ht="13.5" customHeight="1">
      <c r="A178" s="114"/>
      <c r="B178" s="107"/>
      <c r="C178" s="107"/>
      <c r="D178" s="1"/>
      <c r="E178" s="1"/>
      <c r="F178" s="187"/>
      <c r="G178" s="1"/>
      <c r="H178" s="1"/>
      <c r="I178" s="8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27"/>
    </row>
    <row r="179" ht="13.5" customHeight="1">
      <c r="A179" s="114"/>
      <c r="B179" s="107"/>
      <c r="C179" s="107"/>
      <c r="D179" s="1"/>
      <c r="E179" s="1"/>
      <c r="F179" s="187"/>
      <c r="G179" s="1"/>
      <c r="H179" s="1"/>
      <c r="I179" s="8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27"/>
    </row>
    <row r="180" ht="13.5" customHeight="1">
      <c r="A180" s="114"/>
      <c r="B180" s="107"/>
      <c r="C180" s="107"/>
      <c r="D180" s="1"/>
      <c r="E180" s="1"/>
      <c r="F180" s="187"/>
      <c r="G180" s="1"/>
      <c r="H180" s="1"/>
      <c r="I180" s="8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27"/>
    </row>
    <row r="181" ht="13.5" customHeight="1">
      <c r="A181" s="114"/>
      <c r="B181" s="107"/>
      <c r="C181" s="107"/>
      <c r="D181" s="1"/>
      <c r="E181" s="1"/>
      <c r="F181" s="187"/>
      <c r="G181" s="1"/>
      <c r="H181" s="1"/>
      <c r="I181" s="8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27"/>
    </row>
    <row r="182" ht="13.5" customHeight="1">
      <c r="A182" s="114"/>
      <c r="B182" s="107"/>
      <c r="C182" s="107"/>
      <c r="D182" s="1"/>
      <c r="E182" s="1"/>
      <c r="F182" s="187"/>
      <c r="G182" s="1"/>
      <c r="H182" s="1"/>
      <c r="I182" s="8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27"/>
    </row>
    <row r="183" ht="13.5" customHeight="1">
      <c r="A183" s="114"/>
      <c r="B183" s="107"/>
      <c r="C183" s="107"/>
      <c r="D183" s="1"/>
      <c r="E183" s="1"/>
      <c r="F183" s="187"/>
      <c r="G183" s="1"/>
      <c r="H183" s="1"/>
      <c r="I183" s="8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27"/>
    </row>
    <row r="184" ht="13.5" customHeight="1">
      <c r="A184" s="114"/>
      <c r="B184" s="107"/>
      <c r="C184" s="107"/>
      <c r="D184" s="1"/>
      <c r="E184" s="1"/>
      <c r="F184" s="187"/>
      <c r="G184" s="1"/>
      <c r="H184" s="1"/>
      <c r="I184" s="8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27"/>
    </row>
    <row r="185" ht="13.5" customHeight="1">
      <c r="A185" s="114"/>
      <c r="B185" s="107"/>
      <c r="C185" s="107"/>
      <c r="D185" s="1"/>
      <c r="E185" s="1"/>
      <c r="F185" s="187"/>
      <c r="G185" s="1"/>
      <c r="H185" s="1"/>
      <c r="I185" s="8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27"/>
    </row>
    <row r="186" ht="13.5" customHeight="1">
      <c r="A186" s="114"/>
      <c r="B186" s="107"/>
      <c r="C186" s="107"/>
      <c r="D186" s="1"/>
      <c r="E186" s="1"/>
      <c r="F186" s="187"/>
      <c r="G186" s="1"/>
      <c r="H186" s="1"/>
      <c r="I186" s="8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27"/>
    </row>
    <row r="187" ht="13.5" customHeight="1">
      <c r="A187" s="114"/>
      <c r="B187" s="107"/>
      <c r="C187" s="107"/>
      <c r="D187" s="1"/>
      <c r="E187" s="1"/>
      <c r="F187" s="187"/>
      <c r="G187" s="1"/>
      <c r="H187" s="1"/>
      <c r="I187" s="8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27"/>
    </row>
    <row r="188" ht="13.5" customHeight="1">
      <c r="A188" s="114"/>
      <c r="B188" s="107"/>
      <c r="C188" s="107"/>
      <c r="D188" s="1"/>
      <c r="E188" s="1"/>
      <c r="F188" s="187"/>
      <c r="G188" s="1"/>
      <c r="H188" s="1"/>
      <c r="I188" s="8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27"/>
    </row>
    <row r="189" ht="13.5" customHeight="1">
      <c r="A189" s="114"/>
      <c r="B189" s="107"/>
      <c r="C189" s="107"/>
      <c r="D189" s="1"/>
      <c r="E189" s="1"/>
      <c r="F189" s="187"/>
      <c r="G189" s="1"/>
      <c r="H189" s="1"/>
      <c r="I189" s="8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27"/>
    </row>
    <row r="190" ht="13.5" customHeight="1">
      <c r="A190" s="114"/>
      <c r="B190" s="107"/>
      <c r="C190" s="107"/>
      <c r="D190" s="1"/>
      <c r="E190" s="1"/>
      <c r="F190" s="187"/>
      <c r="G190" s="1"/>
      <c r="H190" s="1"/>
      <c r="I190" s="8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27"/>
    </row>
    <row r="191" ht="13.5" customHeight="1">
      <c r="A191" s="114"/>
      <c r="B191" s="107"/>
      <c r="C191" s="107"/>
      <c r="D191" s="1"/>
      <c r="E191" s="1"/>
      <c r="F191" s="187"/>
      <c r="G191" s="1"/>
      <c r="H191" s="1"/>
      <c r="I191" s="8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27"/>
    </row>
    <row r="192" ht="13.5" customHeight="1">
      <c r="A192" s="114"/>
      <c r="B192" s="107"/>
      <c r="C192" s="107"/>
      <c r="D192" s="1"/>
      <c r="E192" s="1"/>
      <c r="F192" s="187"/>
      <c r="G192" s="1"/>
      <c r="H192" s="1"/>
      <c r="I192" s="8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27"/>
    </row>
    <row r="193" ht="13.5" customHeight="1">
      <c r="A193" s="114"/>
      <c r="B193" s="107"/>
      <c r="C193" s="107"/>
      <c r="D193" s="1"/>
      <c r="E193" s="1"/>
      <c r="F193" s="187"/>
      <c r="G193" s="1"/>
      <c r="H193" s="1"/>
      <c r="I193" s="8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27"/>
    </row>
    <row r="194" ht="13.5" customHeight="1">
      <c r="A194" s="114"/>
      <c r="B194" s="107"/>
      <c r="C194" s="107"/>
      <c r="D194" s="1"/>
      <c r="E194" s="1"/>
      <c r="F194" s="187"/>
      <c r="G194" s="1"/>
      <c r="H194" s="1"/>
      <c r="I194" s="8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27"/>
    </row>
    <row r="195" ht="13.5" customHeight="1">
      <c r="A195" s="114"/>
      <c r="B195" s="107"/>
      <c r="C195" s="107"/>
      <c r="D195" s="1"/>
      <c r="E195" s="1"/>
      <c r="F195" s="187"/>
      <c r="G195" s="1"/>
      <c r="H195" s="1"/>
      <c r="I195" s="8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27"/>
    </row>
    <row r="196" ht="13.5" customHeight="1">
      <c r="A196" s="114"/>
      <c r="B196" s="107"/>
      <c r="C196" s="107"/>
      <c r="D196" s="1"/>
      <c r="E196" s="1"/>
      <c r="F196" s="187"/>
      <c r="G196" s="1"/>
      <c r="H196" s="1"/>
      <c r="I196" s="8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27"/>
    </row>
    <row r="197" ht="13.5" customHeight="1">
      <c r="A197" s="114"/>
      <c r="B197" s="107"/>
      <c r="C197" s="107"/>
      <c r="D197" s="1"/>
      <c r="E197" s="1"/>
      <c r="F197" s="187"/>
      <c r="G197" s="1"/>
      <c r="H197" s="1"/>
      <c r="I197" s="8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27"/>
    </row>
    <row r="198" ht="13.5" customHeight="1">
      <c r="A198" s="114"/>
      <c r="B198" s="107"/>
      <c r="C198" s="107"/>
      <c r="D198" s="1"/>
      <c r="E198" s="1"/>
      <c r="F198" s="187"/>
      <c r="G198" s="1"/>
      <c r="H198" s="1"/>
      <c r="I198" s="8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27"/>
    </row>
    <row r="199" ht="13.5" customHeight="1">
      <c r="A199" s="114"/>
      <c r="B199" s="107"/>
      <c r="C199" s="107"/>
      <c r="D199" s="1"/>
      <c r="E199" s="1"/>
      <c r="F199" s="187"/>
      <c r="G199" s="1"/>
      <c r="H199" s="1"/>
      <c r="I199" s="8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27"/>
    </row>
    <row r="200" ht="13.5" customHeight="1">
      <c r="A200" s="114"/>
      <c r="B200" s="107"/>
      <c r="C200" s="107"/>
      <c r="D200" s="1"/>
      <c r="E200" s="1"/>
      <c r="F200" s="187"/>
      <c r="G200" s="1"/>
      <c r="H200" s="1"/>
      <c r="I200" s="8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27"/>
    </row>
    <row r="201" ht="13.5" customHeight="1">
      <c r="A201" s="114"/>
      <c r="B201" s="107"/>
      <c r="C201" s="107"/>
      <c r="D201" s="1"/>
      <c r="E201" s="1"/>
      <c r="F201" s="187"/>
      <c r="G201" s="1"/>
      <c r="H201" s="1"/>
      <c r="I201" s="8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27"/>
    </row>
    <row r="202" ht="13.5" customHeight="1">
      <c r="A202" s="114"/>
      <c r="B202" s="107"/>
      <c r="C202" s="107"/>
      <c r="D202" s="1"/>
      <c r="E202" s="1"/>
      <c r="F202" s="187"/>
      <c r="G202" s="1"/>
      <c r="H202" s="1"/>
      <c r="I202" s="8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27"/>
    </row>
    <row r="203" ht="13.5" customHeight="1">
      <c r="A203" s="114"/>
      <c r="B203" s="107"/>
      <c r="C203" s="107"/>
      <c r="D203" s="1"/>
      <c r="E203" s="1"/>
      <c r="F203" s="187"/>
      <c r="G203" s="1"/>
      <c r="H203" s="1"/>
      <c r="I203" s="8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27"/>
    </row>
    <row r="204" ht="13.5" customHeight="1">
      <c r="A204" s="114"/>
      <c r="B204" s="107"/>
      <c r="C204" s="107"/>
      <c r="D204" s="1"/>
      <c r="E204" s="1"/>
      <c r="F204" s="187"/>
      <c r="G204" s="1"/>
      <c r="H204" s="1"/>
      <c r="I204" s="8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27"/>
    </row>
    <row r="205" ht="13.5" customHeight="1">
      <c r="A205" s="114"/>
      <c r="B205" s="107"/>
      <c r="C205" s="107"/>
      <c r="D205" s="1"/>
      <c r="E205" s="1"/>
      <c r="F205" s="187"/>
      <c r="G205" s="1"/>
      <c r="H205" s="1"/>
      <c r="I205" s="8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27"/>
    </row>
    <row r="206" ht="13.5" customHeight="1">
      <c r="A206" s="114"/>
      <c r="B206" s="107"/>
      <c r="C206" s="107"/>
      <c r="D206" s="1"/>
      <c r="E206" s="1"/>
      <c r="F206" s="187"/>
      <c r="G206" s="1"/>
      <c r="H206" s="1"/>
      <c r="I206" s="8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27"/>
    </row>
    <row r="207" ht="13.5" customHeight="1">
      <c r="A207" s="114"/>
      <c r="B207" s="107"/>
      <c r="C207" s="107"/>
      <c r="D207" s="1"/>
      <c r="E207" s="1"/>
      <c r="F207" s="187"/>
      <c r="G207" s="1"/>
      <c r="H207" s="1"/>
      <c r="I207" s="8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27"/>
    </row>
    <row r="208" ht="13.5" customHeight="1">
      <c r="A208" s="114"/>
      <c r="B208" s="107"/>
      <c r="C208" s="107"/>
      <c r="D208" s="1"/>
      <c r="E208" s="1"/>
      <c r="F208" s="187"/>
      <c r="G208" s="1"/>
      <c r="H208" s="1"/>
      <c r="I208" s="8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27"/>
    </row>
    <row r="209" ht="13.5" customHeight="1">
      <c r="A209" s="114"/>
      <c r="B209" s="107"/>
      <c r="C209" s="107"/>
      <c r="D209" s="1"/>
      <c r="E209" s="1"/>
      <c r="F209" s="187"/>
      <c r="G209" s="1"/>
      <c r="H209" s="1"/>
      <c r="I209" s="8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27"/>
    </row>
    <row r="210" ht="13.5" customHeight="1">
      <c r="A210" s="114"/>
      <c r="B210" s="107"/>
      <c r="C210" s="107"/>
      <c r="D210" s="1"/>
      <c r="E210" s="1"/>
      <c r="F210" s="187"/>
      <c r="G210" s="1"/>
      <c r="H210" s="1"/>
      <c r="I210" s="8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27"/>
    </row>
    <row r="211" ht="13.5" customHeight="1">
      <c r="A211" s="114"/>
      <c r="B211" s="107"/>
      <c r="C211" s="107"/>
      <c r="D211" s="1"/>
      <c r="E211" s="1"/>
      <c r="F211" s="187"/>
      <c r="G211" s="1"/>
      <c r="H211" s="1"/>
      <c r="I211" s="8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27"/>
    </row>
    <row r="212" ht="13.5" customHeight="1">
      <c r="A212" s="114"/>
      <c r="B212" s="107"/>
      <c r="C212" s="107"/>
      <c r="D212" s="1"/>
      <c r="E212" s="1"/>
      <c r="F212" s="187"/>
      <c r="G212" s="1"/>
      <c r="H212" s="1"/>
      <c r="I212" s="8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27"/>
    </row>
    <row r="213" ht="13.5" customHeight="1">
      <c r="A213" s="114"/>
      <c r="B213" s="107"/>
      <c r="C213" s="107"/>
      <c r="D213" s="1"/>
      <c r="E213" s="1"/>
      <c r="F213" s="187"/>
      <c r="G213" s="1"/>
      <c r="H213" s="1"/>
      <c r="I213" s="8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27"/>
    </row>
    <row r="214" ht="13.5" customHeight="1">
      <c r="A214" s="114"/>
      <c r="B214" s="107"/>
      <c r="C214" s="107"/>
      <c r="D214" s="1"/>
      <c r="E214" s="1"/>
      <c r="F214" s="187"/>
      <c r="G214" s="1"/>
      <c r="H214" s="1"/>
      <c r="I214" s="8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27"/>
    </row>
    <row r="215" ht="13.5" customHeight="1">
      <c r="A215" s="114"/>
      <c r="B215" s="107"/>
      <c r="C215" s="107"/>
      <c r="D215" s="1"/>
      <c r="E215" s="1"/>
      <c r="F215" s="187"/>
      <c r="G215" s="1"/>
      <c r="H215" s="1"/>
      <c r="I215" s="8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27"/>
    </row>
    <row r="216" ht="13.5" customHeight="1">
      <c r="A216" s="114"/>
      <c r="B216" s="107"/>
      <c r="C216" s="107"/>
      <c r="D216" s="1"/>
      <c r="E216" s="1"/>
      <c r="F216" s="187"/>
      <c r="G216" s="1"/>
      <c r="H216" s="1"/>
      <c r="I216" s="8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27"/>
    </row>
    <row r="217" ht="13.5" customHeight="1">
      <c r="A217" s="114"/>
      <c r="B217" s="107"/>
      <c r="C217" s="107"/>
      <c r="D217" s="1"/>
      <c r="E217" s="1"/>
      <c r="F217" s="187"/>
      <c r="G217" s="1"/>
      <c r="H217" s="1"/>
      <c r="I217" s="8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27"/>
    </row>
    <row r="218" ht="13.5" customHeight="1">
      <c r="A218" s="114"/>
      <c r="B218" s="107"/>
      <c r="C218" s="107"/>
      <c r="D218" s="1"/>
      <c r="E218" s="1"/>
      <c r="F218" s="187"/>
      <c r="G218" s="1"/>
      <c r="H218" s="1"/>
      <c r="I218" s="8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27"/>
    </row>
    <row r="219" ht="13.5" customHeight="1">
      <c r="A219" s="114"/>
      <c r="B219" s="107"/>
      <c r="C219" s="107"/>
      <c r="D219" s="1"/>
      <c r="E219" s="1"/>
      <c r="F219" s="187"/>
      <c r="G219" s="1"/>
      <c r="H219" s="1"/>
      <c r="I219" s="8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27"/>
    </row>
    <row r="220" ht="13.5" customHeight="1">
      <c r="A220" s="114"/>
      <c r="B220" s="107"/>
      <c r="C220" s="107"/>
      <c r="D220" s="1"/>
      <c r="E220" s="1"/>
      <c r="F220" s="187"/>
      <c r="G220" s="1"/>
      <c r="H220" s="1"/>
      <c r="I220" s="8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27"/>
    </row>
    <row r="221" ht="13.5" customHeight="1">
      <c r="A221" s="114"/>
      <c r="B221" s="107"/>
      <c r="C221" s="107"/>
      <c r="D221" s="1"/>
      <c r="E221" s="1"/>
      <c r="F221" s="187"/>
      <c r="G221" s="1"/>
      <c r="H221" s="1"/>
      <c r="I221" s="8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27"/>
    </row>
    <row r="222" ht="13.5" customHeight="1">
      <c r="A222" s="114"/>
      <c r="B222" s="107"/>
      <c r="C222" s="107"/>
      <c r="D222" s="1"/>
      <c r="E222" s="1"/>
      <c r="F222" s="187"/>
      <c r="G222" s="1"/>
      <c r="H222" s="1"/>
      <c r="I222" s="8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27"/>
    </row>
    <row r="223" ht="13.5" customHeight="1">
      <c r="A223" s="114"/>
      <c r="B223" s="107"/>
      <c r="C223" s="107"/>
      <c r="D223" s="1"/>
      <c r="E223" s="1"/>
      <c r="F223" s="187"/>
      <c r="G223" s="1"/>
      <c r="H223" s="1"/>
      <c r="I223" s="8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27"/>
    </row>
    <row r="224" ht="13.5" customHeight="1">
      <c r="A224" s="114"/>
      <c r="B224" s="107"/>
      <c r="C224" s="107"/>
      <c r="D224" s="1"/>
      <c r="E224" s="1"/>
      <c r="F224" s="187"/>
      <c r="G224" s="1"/>
      <c r="H224" s="1"/>
      <c r="I224" s="8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27"/>
    </row>
    <row r="225" ht="13.5" customHeight="1">
      <c r="A225" s="114"/>
      <c r="B225" s="107"/>
      <c r="C225" s="107"/>
      <c r="D225" s="1"/>
      <c r="E225" s="1"/>
      <c r="F225" s="187"/>
      <c r="G225" s="1"/>
      <c r="H225" s="1"/>
      <c r="I225" s="8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27"/>
    </row>
    <row r="226" ht="13.5" customHeight="1">
      <c r="A226" s="114"/>
      <c r="B226" s="107"/>
      <c r="C226" s="107"/>
      <c r="D226" s="1"/>
      <c r="E226" s="1"/>
      <c r="F226" s="187"/>
      <c r="G226" s="1"/>
      <c r="H226" s="1"/>
      <c r="I226" s="8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27"/>
    </row>
    <row r="227" ht="13.5" customHeight="1">
      <c r="A227" s="114"/>
      <c r="B227" s="107"/>
      <c r="C227" s="107"/>
      <c r="D227" s="1"/>
      <c r="E227" s="1"/>
      <c r="F227" s="187"/>
      <c r="G227" s="1"/>
      <c r="H227" s="1"/>
      <c r="I227" s="8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27"/>
    </row>
    <row r="228" ht="13.5" customHeight="1">
      <c r="A228" s="114"/>
      <c r="B228" s="107"/>
      <c r="C228" s="107"/>
      <c r="D228" s="1"/>
      <c r="E228" s="1"/>
      <c r="F228" s="187"/>
      <c r="G228" s="1"/>
      <c r="H228" s="1"/>
      <c r="I228" s="8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27"/>
    </row>
    <row r="229" ht="13.5" customHeight="1">
      <c r="A229" s="114"/>
      <c r="B229" s="107"/>
      <c r="C229" s="107"/>
      <c r="D229" s="1"/>
      <c r="E229" s="1"/>
      <c r="F229" s="187"/>
      <c r="G229" s="1"/>
      <c r="H229" s="1"/>
      <c r="I229" s="8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27"/>
    </row>
    <row r="230" ht="13.5" customHeight="1">
      <c r="A230" s="114"/>
      <c r="B230" s="107"/>
      <c r="C230" s="107"/>
      <c r="D230" s="1"/>
      <c r="E230" s="1"/>
      <c r="F230" s="187"/>
      <c r="G230" s="1"/>
      <c r="H230" s="1"/>
      <c r="I230" s="8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27"/>
    </row>
    <row r="231" ht="13.5" customHeight="1">
      <c r="A231" s="114"/>
      <c r="B231" s="107"/>
      <c r="C231" s="107"/>
      <c r="D231" s="1"/>
      <c r="E231" s="1"/>
      <c r="F231" s="187"/>
      <c r="G231" s="1"/>
      <c r="H231" s="1"/>
      <c r="I231" s="8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27"/>
    </row>
    <row r="232" ht="13.5" customHeight="1">
      <c r="A232" s="114"/>
      <c r="B232" s="107"/>
      <c r="C232" s="107"/>
      <c r="D232" s="1"/>
      <c r="E232" s="1"/>
      <c r="F232" s="187"/>
      <c r="G232" s="1"/>
      <c r="H232" s="1"/>
      <c r="I232" s="8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27"/>
    </row>
    <row r="233" ht="13.5" customHeight="1">
      <c r="A233" s="114"/>
      <c r="B233" s="107"/>
      <c r="C233" s="107"/>
      <c r="D233" s="1"/>
      <c r="E233" s="1"/>
      <c r="F233" s="187"/>
      <c r="G233" s="1"/>
      <c r="H233" s="1"/>
      <c r="I233" s="8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27"/>
    </row>
    <row r="234" ht="13.5" customHeight="1">
      <c r="A234" s="114"/>
      <c r="B234" s="107"/>
      <c r="C234" s="107"/>
      <c r="D234" s="1"/>
      <c r="E234" s="1"/>
      <c r="F234" s="187"/>
      <c r="G234" s="1"/>
      <c r="H234" s="1"/>
      <c r="I234" s="8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27"/>
    </row>
    <row r="235" ht="13.5" customHeight="1">
      <c r="A235" s="114"/>
      <c r="B235" s="107"/>
      <c r="C235" s="107"/>
      <c r="D235" s="1"/>
      <c r="E235" s="1"/>
      <c r="F235" s="187"/>
      <c r="G235" s="1"/>
      <c r="H235" s="1"/>
      <c r="I235" s="8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27"/>
    </row>
    <row r="236" ht="13.5" customHeight="1">
      <c r="A236" s="114"/>
      <c r="B236" s="107"/>
      <c r="C236" s="107"/>
      <c r="D236" s="1"/>
      <c r="E236" s="1"/>
      <c r="F236" s="187"/>
      <c r="G236" s="1"/>
      <c r="H236" s="1"/>
      <c r="I236" s="8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27"/>
    </row>
    <row r="237" ht="13.5" customHeight="1">
      <c r="A237" s="114"/>
      <c r="B237" s="107"/>
      <c r="C237" s="107"/>
      <c r="D237" s="1"/>
      <c r="E237" s="1"/>
      <c r="F237" s="187"/>
      <c r="G237" s="1"/>
      <c r="H237" s="1"/>
      <c r="I237" s="8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27"/>
    </row>
    <row r="238" ht="13.5" customHeight="1">
      <c r="A238" s="114"/>
      <c r="B238" s="107"/>
      <c r="C238" s="107"/>
      <c r="D238" s="1"/>
      <c r="E238" s="1"/>
      <c r="F238" s="187"/>
      <c r="G238" s="1"/>
      <c r="H238" s="1"/>
      <c r="I238" s="8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27"/>
    </row>
    <row r="239" ht="13.5" customHeight="1">
      <c r="A239" s="114"/>
      <c r="B239" s="107"/>
      <c r="C239" s="107"/>
      <c r="D239" s="1"/>
      <c r="E239" s="1"/>
      <c r="F239" s="187"/>
      <c r="G239" s="1"/>
      <c r="H239" s="1"/>
      <c r="I239" s="8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27"/>
    </row>
    <row r="240" ht="13.5" customHeight="1">
      <c r="A240" s="114"/>
      <c r="B240" s="107"/>
      <c r="C240" s="107"/>
      <c r="D240" s="1"/>
      <c r="E240" s="1"/>
      <c r="F240" s="187"/>
      <c r="G240" s="1"/>
      <c r="H240" s="1"/>
      <c r="I240" s="8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27"/>
    </row>
    <row r="241" ht="13.5" customHeight="1">
      <c r="A241" s="114"/>
      <c r="B241" s="107"/>
      <c r="C241" s="107"/>
      <c r="D241" s="1"/>
      <c r="E241" s="1"/>
      <c r="F241" s="187"/>
      <c r="G241" s="1"/>
      <c r="H241" s="1"/>
      <c r="I241" s="8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27"/>
    </row>
    <row r="242" ht="13.5" customHeight="1">
      <c r="A242" s="114"/>
      <c r="B242" s="107"/>
      <c r="C242" s="107"/>
      <c r="D242" s="1"/>
      <c r="E242" s="1"/>
      <c r="F242" s="187"/>
      <c r="G242" s="1"/>
      <c r="H242" s="1"/>
      <c r="I242" s="8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27"/>
    </row>
    <row r="243" ht="13.5" customHeight="1">
      <c r="A243" s="114"/>
      <c r="B243" s="107"/>
      <c r="C243" s="107"/>
      <c r="D243" s="1"/>
      <c r="E243" s="1"/>
      <c r="F243" s="187"/>
      <c r="G243" s="1"/>
      <c r="H243" s="1"/>
      <c r="I243" s="8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27"/>
    </row>
    <row r="244" ht="13.5" customHeight="1">
      <c r="A244" s="114"/>
      <c r="B244" s="107"/>
      <c r="C244" s="107"/>
      <c r="D244" s="1"/>
      <c r="E244" s="1"/>
      <c r="F244" s="187"/>
      <c r="G244" s="1"/>
      <c r="H244" s="1"/>
      <c r="I244" s="8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27"/>
    </row>
    <row r="245" ht="13.5" customHeight="1">
      <c r="A245" s="114"/>
      <c r="B245" s="107"/>
      <c r="C245" s="107"/>
      <c r="D245" s="1"/>
      <c r="E245" s="1"/>
      <c r="F245" s="187"/>
      <c r="G245" s="1"/>
      <c r="H245" s="1"/>
      <c r="I245" s="8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27"/>
    </row>
    <row r="246" ht="13.5" customHeight="1">
      <c r="A246" s="114"/>
      <c r="B246" s="107"/>
      <c r="C246" s="107"/>
      <c r="D246" s="1"/>
      <c r="E246" s="1"/>
      <c r="F246" s="187"/>
      <c r="G246" s="1"/>
      <c r="H246" s="1"/>
      <c r="I246" s="8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27"/>
    </row>
    <row r="247" ht="13.5" customHeight="1">
      <c r="A247" s="114"/>
      <c r="B247" s="107"/>
      <c r="C247" s="107"/>
      <c r="D247" s="1"/>
      <c r="E247" s="1"/>
      <c r="F247" s="187"/>
      <c r="G247" s="1"/>
      <c r="H247" s="1"/>
      <c r="I247" s="8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27"/>
    </row>
    <row r="248" ht="13.5" customHeight="1">
      <c r="A248" s="114"/>
      <c r="B248" s="107"/>
      <c r="C248" s="107"/>
      <c r="D248" s="1"/>
      <c r="E248" s="1"/>
      <c r="F248" s="187"/>
      <c r="G248" s="1"/>
      <c r="H248" s="1"/>
      <c r="I248" s="8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27"/>
    </row>
    <row r="249" ht="13.5" customHeight="1">
      <c r="A249" s="114"/>
      <c r="B249" s="107"/>
      <c r="C249" s="107"/>
      <c r="D249" s="1"/>
      <c r="E249" s="1"/>
      <c r="F249" s="187"/>
      <c r="G249" s="1"/>
      <c r="H249" s="1"/>
      <c r="I249" s="8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27"/>
    </row>
    <row r="250" ht="13.5" customHeight="1">
      <c r="A250" s="114"/>
      <c r="B250" s="107"/>
      <c r="C250" s="107"/>
      <c r="D250" s="1"/>
      <c r="E250" s="1"/>
      <c r="F250" s="187"/>
      <c r="G250" s="1"/>
      <c r="H250" s="1"/>
      <c r="I250" s="8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27"/>
    </row>
    <row r="251" ht="13.5" customHeight="1">
      <c r="A251" s="114"/>
      <c r="B251" s="107"/>
      <c r="C251" s="107"/>
      <c r="D251" s="1"/>
      <c r="E251" s="1"/>
      <c r="F251" s="187"/>
      <c r="G251" s="1"/>
      <c r="H251" s="1"/>
      <c r="I251" s="8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27"/>
    </row>
    <row r="252" ht="13.5" customHeight="1">
      <c r="A252" s="114"/>
      <c r="B252" s="107"/>
      <c r="C252" s="107"/>
      <c r="D252" s="1"/>
      <c r="E252" s="1"/>
      <c r="F252" s="187"/>
      <c r="G252" s="1"/>
      <c r="H252" s="1"/>
      <c r="I252" s="8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27"/>
    </row>
    <row r="253" ht="13.5" customHeight="1">
      <c r="A253" s="114"/>
      <c r="B253" s="107"/>
      <c r="C253" s="107"/>
      <c r="D253" s="1"/>
      <c r="E253" s="1"/>
      <c r="F253" s="187"/>
      <c r="G253" s="1"/>
      <c r="H253" s="1"/>
      <c r="I253" s="8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27"/>
    </row>
    <row r="254" ht="13.5" customHeight="1">
      <c r="A254" s="114"/>
      <c r="B254" s="107"/>
      <c r="C254" s="107"/>
      <c r="D254" s="1"/>
      <c r="E254" s="1"/>
      <c r="F254" s="187"/>
      <c r="G254" s="1"/>
      <c r="H254" s="1"/>
      <c r="I254" s="8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27"/>
    </row>
    <row r="255" ht="13.5" customHeight="1">
      <c r="A255" s="114"/>
      <c r="B255" s="107"/>
      <c r="C255" s="107"/>
      <c r="D255" s="1"/>
      <c r="E255" s="1"/>
      <c r="F255" s="187"/>
      <c r="G255" s="1"/>
      <c r="H255" s="1"/>
      <c r="I255" s="8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27"/>
    </row>
    <row r="256" ht="13.5" customHeight="1">
      <c r="A256" s="114"/>
      <c r="B256" s="107"/>
      <c r="C256" s="107"/>
      <c r="D256" s="1"/>
      <c r="E256" s="1"/>
      <c r="F256" s="187"/>
      <c r="G256" s="1"/>
      <c r="H256" s="1"/>
      <c r="I256" s="8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27"/>
    </row>
    <row r="257" ht="13.5" customHeight="1">
      <c r="A257" s="114"/>
      <c r="B257" s="107"/>
      <c r="C257" s="107"/>
      <c r="D257" s="1"/>
      <c r="E257" s="1"/>
      <c r="F257" s="187"/>
      <c r="G257" s="1"/>
      <c r="H257" s="1"/>
      <c r="I257" s="8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27"/>
    </row>
    <row r="258" ht="13.5" customHeight="1">
      <c r="A258" s="114"/>
      <c r="B258" s="107"/>
      <c r="C258" s="107"/>
      <c r="D258" s="1"/>
      <c r="E258" s="1"/>
      <c r="F258" s="187"/>
      <c r="G258" s="1"/>
      <c r="H258" s="1"/>
      <c r="I258" s="8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27"/>
    </row>
    <row r="259" ht="13.5" customHeight="1">
      <c r="A259" s="114"/>
      <c r="B259" s="107"/>
      <c r="C259" s="107"/>
      <c r="D259" s="1"/>
      <c r="E259" s="1"/>
      <c r="F259" s="187"/>
      <c r="G259" s="1"/>
      <c r="H259" s="1"/>
      <c r="I259" s="8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27"/>
    </row>
    <row r="260" ht="13.5" customHeight="1">
      <c r="A260" s="114"/>
      <c r="B260" s="107"/>
      <c r="C260" s="107"/>
      <c r="D260" s="1"/>
      <c r="E260" s="1"/>
      <c r="F260" s="187"/>
      <c r="G260" s="1"/>
      <c r="H260" s="1"/>
      <c r="I260" s="8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27"/>
    </row>
    <row r="261" ht="13.5" customHeight="1">
      <c r="A261" s="114"/>
      <c r="B261" s="107"/>
      <c r="C261" s="107"/>
      <c r="D261" s="1"/>
      <c r="E261" s="1"/>
      <c r="F261" s="187"/>
      <c r="G261" s="1"/>
      <c r="H261" s="1"/>
      <c r="I261" s="8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27"/>
    </row>
    <row r="262" ht="13.5" customHeight="1">
      <c r="A262" s="114"/>
      <c r="B262" s="107"/>
      <c r="C262" s="107"/>
      <c r="D262" s="1"/>
      <c r="E262" s="1"/>
      <c r="F262" s="187"/>
      <c r="G262" s="1"/>
      <c r="H262" s="1"/>
      <c r="I262" s="8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27"/>
    </row>
    <row r="263" ht="13.5" customHeight="1">
      <c r="A263" s="114"/>
      <c r="B263" s="107"/>
      <c r="C263" s="107"/>
      <c r="D263" s="1"/>
      <c r="E263" s="1"/>
      <c r="F263" s="187"/>
      <c r="G263" s="1"/>
      <c r="H263" s="1"/>
      <c r="I263" s="8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27"/>
    </row>
    <row r="264" ht="13.5" customHeight="1">
      <c r="A264" s="114"/>
      <c r="B264" s="27"/>
      <c r="C264" s="27"/>
      <c r="D264" s="27"/>
      <c r="E264" s="27"/>
      <c r="F264" s="114"/>
      <c r="G264" s="27"/>
      <c r="H264" s="27"/>
      <c r="I264" s="8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27"/>
    </row>
    <row r="265" ht="13.5" customHeight="1">
      <c r="A265" s="114"/>
      <c r="B265" s="27"/>
      <c r="C265" s="27"/>
      <c r="D265" s="27"/>
      <c r="E265" s="27"/>
      <c r="F265" s="114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27"/>
    </row>
    <row r="266" ht="13.5" customHeight="1">
      <c r="A266" s="114"/>
      <c r="B266" s="27"/>
      <c r="C266" s="27"/>
      <c r="D266" s="27"/>
      <c r="E266" s="27"/>
      <c r="F266" s="114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27"/>
    </row>
    <row r="267" ht="13.5" customHeight="1">
      <c r="A267" s="114"/>
      <c r="B267" s="27"/>
      <c r="C267" s="27"/>
      <c r="D267" s="27"/>
      <c r="E267" s="27"/>
      <c r="F267" s="114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27"/>
    </row>
    <row r="268" ht="15.75" customHeight="1">
      <c r="A268" s="114"/>
      <c r="B268" s="27"/>
      <c r="C268" s="27"/>
      <c r="D268" s="27"/>
      <c r="E268" s="27"/>
      <c r="F268" s="114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 ht="15.75" customHeight="1">
      <c r="A269" s="114"/>
      <c r="B269" s="27"/>
      <c r="C269" s="27"/>
      <c r="D269" s="27"/>
      <c r="E269" s="27"/>
      <c r="F269" s="114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 ht="15.75" customHeight="1">
      <c r="A270" s="114"/>
      <c r="B270" s="27"/>
      <c r="C270" s="27"/>
      <c r="D270" s="27"/>
      <c r="E270" s="27"/>
      <c r="F270" s="114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ht="15.75" customHeight="1">
      <c r="A271" s="114"/>
      <c r="B271" s="27"/>
      <c r="C271" s="27"/>
      <c r="D271" s="27"/>
      <c r="E271" s="27"/>
      <c r="F271" s="114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 ht="15.75" customHeight="1">
      <c r="A272" s="114"/>
      <c r="B272" s="27"/>
      <c r="C272" s="27"/>
      <c r="D272" s="27"/>
      <c r="E272" s="27"/>
      <c r="F272" s="114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ht="15.75" customHeight="1">
      <c r="A273" s="114"/>
      <c r="B273" s="27"/>
      <c r="C273" s="27"/>
      <c r="D273" s="27"/>
      <c r="E273" s="27"/>
      <c r="F273" s="114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ht="15.75" customHeight="1">
      <c r="A274" s="114"/>
      <c r="B274" s="27"/>
      <c r="C274" s="27"/>
      <c r="D274" s="27"/>
      <c r="E274" s="27"/>
      <c r="F274" s="114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 ht="15.75" customHeight="1">
      <c r="A275" s="114"/>
      <c r="B275" s="27"/>
      <c r="C275" s="27"/>
      <c r="D275" s="27"/>
      <c r="E275" s="27"/>
      <c r="F275" s="114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 ht="15.75" customHeight="1">
      <c r="A276" s="114"/>
      <c r="B276" s="27"/>
      <c r="C276" s="27"/>
      <c r="D276" s="27"/>
      <c r="E276" s="27"/>
      <c r="F276" s="114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ht="15.75" customHeight="1">
      <c r="A277" s="114"/>
      <c r="B277" s="27"/>
      <c r="C277" s="27"/>
      <c r="D277" s="27"/>
      <c r="E277" s="27"/>
      <c r="F277" s="114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 ht="15.75" customHeight="1">
      <c r="A278" s="114"/>
      <c r="B278" s="27"/>
      <c r="C278" s="27"/>
      <c r="D278" s="27"/>
      <c r="E278" s="27"/>
      <c r="F278" s="114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 ht="15.75" customHeight="1">
      <c r="A279" s="114"/>
      <c r="B279" s="27"/>
      <c r="C279" s="27"/>
      <c r="D279" s="27"/>
      <c r="E279" s="27"/>
      <c r="F279" s="114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ht="15.75" customHeight="1">
      <c r="A280" s="114"/>
      <c r="B280" s="27"/>
      <c r="C280" s="27"/>
      <c r="D280" s="27"/>
      <c r="E280" s="27"/>
      <c r="F280" s="114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 ht="15.75" customHeight="1">
      <c r="A281" s="114"/>
      <c r="B281" s="27"/>
      <c r="C281" s="27"/>
      <c r="D281" s="27"/>
      <c r="E281" s="27"/>
      <c r="F281" s="114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 ht="15.75" customHeight="1">
      <c r="A282" s="114"/>
      <c r="B282" s="27"/>
      <c r="C282" s="27"/>
      <c r="D282" s="27"/>
      <c r="E282" s="27"/>
      <c r="F282" s="114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ht="15.75" customHeight="1">
      <c r="A283" s="114"/>
      <c r="B283" s="27"/>
      <c r="C283" s="27"/>
      <c r="D283" s="27"/>
      <c r="E283" s="27"/>
      <c r="F283" s="114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 ht="15.75" customHeight="1">
      <c r="A284" s="114"/>
      <c r="B284" s="27"/>
      <c r="C284" s="27"/>
      <c r="D284" s="27"/>
      <c r="E284" s="27"/>
      <c r="F284" s="114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 ht="15.75" customHeight="1">
      <c r="A285" s="114"/>
      <c r="B285" s="27"/>
      <c r="C285" s="27"/>
      <c r="D285" s="27"/>
      <c r="E285" s="27"/>
      <c r="F285" s="114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ht="15.75" customHeight="1">
      <c r="A286" s="114"/>
      <c r="B286" s="27"/>
      <c r="C286" s="27"/>
      <c r="D286" s="27"/>
      <c r="E286" s="27"/>
      <c r="F286" s="114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 ht="15.75" customHeight="1">
      <c r="A287" s="114"/>
      <c r="B287" s="27"/>
      <c r="C287" s="27"/>
      <c r="D287" s="27"/>
      <c r="E287" s="27"/>
      <c r="F287" s="114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ht="15.75" customHeight="1">
      <c r="A288" s="114"/>
      <c r="B288" s="27"/>
      <c r="C288" s="27"/>
      <c r="D288" s="27"/>
      <c r="E288" s="27"/>
      <c r="F288" s="114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ht="15.75" customHeight="1">
      <c r="A289" s="114"/>
      <c r="B289" s="27"/>
      <c r="C289" s="27"/>
      <c r="D289" s="27"/>
      <c r="E289" s="27"/>
      <c r="F289" s="114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 ht="15.75" customHeight="1">
      <c r="A290" s="114"/>
      <c r="B290" s="27"/>
      <c r="C290" s="27"/>
      <c r="D290" s="27"/>
      <c r="E290" s="27"/>
      <c r="F290" s="114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 ht="15.75" customHeight="1">
      <c r="A291" s="114"/>
      <c r="B291" s="27"/>
      <c r="C291" s="27"/>
      <c r="D291" s="27"/>
      <c r="E291" s="27"/>
      <c r="F291" s="114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ht="15.75" customHeight="1">
      <c r="A292" s="114"/>
      <c r="B292" s="27"/>
      <c r="C292" s="27"/>
      <c r="D292" s="27"/>
      <c r="E292" s="27"/>
      <c r="F292" s="114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 ht="15.75" customHeight="1">
      <c r="A293" s="114"/>
      <c r="B293" s="27"/>
      <c r="C293" s="27"/>
      <c r="D293" s="27"/>
      <c r="E293" s="27"/>
      <c r="F293" s="114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 ht="15.75" customHeight="1">
      <c r="A294" s="114"/>
      <c r="B294" s="27"/>
      <c r="C294" s="27"/>
      <c r="D294" s="27"/>
      <c r="E294" s="27"/>
      <c r="F294" s="114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ht="15.75" customHeight="1">
      <c r="A295" s="114"/>
      <c r="B295" s="27"/>
      <c r="C295" s="27"/>
      <c r="D295" s="27"/>
      <c r="E295" s="27"/>
      <c r="F295" s="114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 ht="15.75" customHeight="1">
      <c r="A296" s="114"/>
      <c r="B296" s="27"/>
      <c r="C296" s="27"/>
      <c r="D296" s="27"/>
      <c r="E296" s="27"/>
      <c r="F296" s="114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 ht="15.75" customHeight="1">
      <c r="A297" s="114"/>
      <c r="B297" s="27"/>
      <c r="C297" s="27"/>
      <c r="D297" s="27"/>
      <c r="E297" s="27"/>
      <c r="F297" s="114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ht="15.75" customHeight="1">
      <c r="A298" s="114"/>
      <c r="B298" s="27"/>
      <c r="C298" s="27"/>
      <c r="D298" s="27"/>
      <c r="E298" s="27"/>
      <c r="F298" s="114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 ht="15.75" customHeight="1">
      <c r="A299" s="114"/>
      <c r="B299" s="27"/>
      <c r="C299" s="27"/>
      <c r="D299" s="27"/>
      <c r="E299" s="27"/>
      <c r="F299" s="114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 ht="15.75" customHeight="1">
      <c r="A300" s="114"/>
      <c r="B300" s="27"/>
      <c r="C300" s="27"/>
      <c r="D300" s="27"/>
      <c r="E300" s="27"/>
      <c r="F300" s="114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ht="15.75" customHeight="1">
      <c r="A301" s="114"/>
      <c r="B301" s="27"/>
      <c r="C301" s="27"/>
      <c r="D301" s="27"/>
      <c r="E301" s="27"/>
      <c r="F301" s="114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 ht="15.75" customHeight="1">
      <c r="A302" s="114"/>
      <c r="B302" s="27"/>
      <c r="C302" s="27"/>
      <c r="D302" s="27"/>
      <c r="E302" s="27"/>
      <c r="F302" s="114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 ht="15.75" customHeight="1">
      <c r="A303" s="114"/>
      <c r="B303" s="27"/>
      <c r="C303" s="27"/>
      <c r="D303" s="27"/>
      <c r="E303" s="27"/>
      <c r="F303" s="114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ht="15.75" customHeight="1">
      <c r="A304" s="114"/>
      <c r="B304" s="27"/>
      <c r="C304" s="27"/>
      <c r="D304" s="27"/>
      <c r="E304" s="27"/>
      <c r="F304" s="114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 ht="15.75" customHeight="1">
      <c r="A305" s="114"/>
      <c r="B305" s="27"/>
      <c r="C305" s="27"/>
      <c r="D305" s="27"/>
      <c r="E305" s="27"/>
      <c r="F305" s="114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 ht="15.75" customHeight="1">
      <c r="A306" s="114"/>
      <c r="B306" s="27"/>
      <c r="C306" s="27"/>
      <c r="D306" s="27"/>
      <c r="E306" s="27"/>
      <c r="F306" s="114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ht="15.75" customHeight="1">
      <c r="A307" s="114"/>
      <c r="B307" s="27"/>
      <c r="C307" s="27"/>
      <c r="D307" s="27"/>
      <c r="E307" s="27"/>
      <c r="F307" s="114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 ht="15.75" customHeight="1">
      <c r="A308" s="114"/>
      <c r="B308" s="27"/>
      <c r="C308" s="27"/>
      <c r="D308" s="27"/>
      <c r="E308" s="27"/>
      <c r="F308" s="114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 ht="15.75" customHeight="1">
      <c r="A309" s="114"/>
      <c r="B309" s="27"/>
      <c r="C309" s="27"/>
      <c r="D309" s="27"/>
      <c r="E309" s="27"/>
      <c r="F309" s="114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ht="15.75" customHeight="1">
      <c r="A310" s="114"/>
      <c r="B310" s="27"/>
      <c r="C310" s="27"/>
      <c r="D310" s="27"/>
      <c r="E310" s="27"/>
      <c r="F310" s="114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 ht="15.75" customHeight="1">
      <c r="A311" s="114"/>
      <c r="B311" s="27"/>
      <c r="C311" s="27"/>
      <c r="D311" s="27"/>
      <c r="E311" s="27"/>
      <c r="F311" s="114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 ht="15.75" customHeight="1">
      <c r="A312" s="114"/>
      <c r="B312" s="27"/>
      <c r="C312" s="27"/>
      <c r="D312" s="27"/>
      <c r="E312" s="27"/>
      <c r="F312" s="114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ht="15.75" customHeight="1">
      <c r="A313" s="114"/>
      <c r="B313" s="27"/>
      <c r="C313" s="27"/>
      <c r="D313" s="27"/>
      <c r="E313" s="27"/>
      <c r="F313" s="114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 ht="15.75" customHeight="1">
      <c r="A314" s="114"/>
      <c r="B314" s="27"/>
      <c r="C314" s="27"/>
      <c r="D314" s="27"/>
      <c r="E314" s="27"/>
      <c r="F314" s="114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 ht="15.75" customHeight="1">
      <c r="A315" s="114"/>
      <c r="B315" s="27"/>
      <c r="C315" s="27"/>
      <c r="D315" s="27"/>
      <c r="E315" s="27"/>
      <c r="F315" s="114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 ht="15.75" customHeight="1">
      <c r="A316" s="114"/>
      <c r="B316" s="27"/>
      <c r="C316" s="27"/>
      <c r="D316" s="27"/>
      <c r="E316" s="27"/>
      <c r="F316" s="114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 ht="15.75" customHeight="1">
      <c r="A317" s="114"/>
      <c r="B317" s="27"/>
      <c r="C317" s="27"/>
      <c r="D317" s="27"/>
      <c r="E317" s="27"/>
      <c r="F317" s="114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 ht="15.75" customHeight="1">
      <c r="A318" s="114"/>
      <c r="B318" s="27"/>
      <c r="C318" s="27"/>
      <c r="D318" s="27"/>
      <c r="E318" s="27"/>
      <c r="F318" s="114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 ht="15.75" customHeight="1">
      <c r="A319" s="114"/>
      <c r="B319" s="27"/>
      <c r="C319" s="27"/>
      <c r="D319" s="27"/>
      <c r="E319" s="27"/>
      <c r="F319" s="114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 ht="15.75" customHeight="1">
      <c r="A320" s="114"/>
      <c r="B320" s="27"/>
      <c r="C320" s="27"/>
      <c r="D320" s="27"/>
      <c r="E320" s="27"/>
      <c r="F320" s="114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 ht="15.75" customHeight="1">
      <c r="A321" s="114"/>
      <c r="B321" s="27"/>
      <c r="C321" s="27"/>
      <c r="D321" s="27"/>
      <c r="E321" s="27"/>
      <c r="F321" s="114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 ht="15.75" customHeight="1">
      <c r="A322" s="114"/>
      <c r="B322" s="27"/>
      <c r="C322" s="27"/>
      <c r="D322" s="27"/>
      <c r="E322" s="27"/>
      <c r="F322" s="114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 ht="15.75" customHeight="1">
      <c r="A323" s="114"/>
      <c r="B323" s="27"/>
      <c r="C323" s="27"/>
      <c r="D323" s="27"/>
      <c r="E323" s="27"/>
      <c r="F323" s="114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 ht="15.75" customHeight="1">
      <c r="A324" s="114"/>
      <c r="B324" s="27"/>
      <c r="C324" s="27"/>
      <c r="D324" s="27"/>
      <c r="E324" s="27"/>
      <c r="F324" s="114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 ht="15.75" customHeight="1">
      <c r="A325" s="114"/>
      <c r="B325" s="27"/>
      <c r="C325" s="27"/>
      <c r="D325" s="27"/>
      <c r="E325" s="27"/>
      <c r="F325" s="114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 ht="15.75" customHeight="1">
      <c r="A326" s="114"/>
      <c r="B326" s="27"/>
      <c r="C326" s="27"/>
      <c r="D326" s="27"/>
      <c r="E326" s="27"/>
      <c r="F326" s="114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 ht="15.75" customHeight="1">
      <c r="A327" s="114"/>
      <c r="B327" s="27"/>
      <c r="C327" s="27"/>
      <c r="D327" s="27"/>
      <c r="E327" s="27"/>
      <c r="F327" s="114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 ht="15.75" customHeight="1">
      <c r="A328" s="114"/>
      <c r="B328" s="27"/>
      <c r="C328" s="27"/>
      <c r="D328" s="27"/>
      <c r="E328" s="27"/>
      <c r="F328" s="114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 ht="15.75" customHeight="1">
      <c r="A329" s="114"/>
      <c r="B329" s="27"/>
      <c r="C329" s="27"/>
      <c r="D329" s="27"/>
      <c r="E329" s="27"/>
      <c r="F329" s="114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 ht="15.75" customHeight="1">
      <c r="A330" s="114"/>
      <c r="B330" s="27"/>
      <c r="C330" s="27"/>
      <c r="D330" s="27"/>
      <c r="E330" s="27"/>
      <c r="F330" s="114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 ht="15.75" customHeight="1">
      <c r="A331" s="114"/>
      <c r="B331" s="27"/>
      <c r="C331" s="27"/>
      <c r="D331" s="27"/>
      <c r="E331" s="27"/>
      <c r="F331" s="114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 ht="15.75" customHeight="1">
      <c r="A332" s="114"/>
      <c r="B332" s="27"/>
      <c r="C332" s="27"/>
      <c r="D332" s="27"/>
      <c r="E332" s="27"/>
      <c r="F332" s="114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 ht="15.75" customHeight="1">
      <c r="A333" s="114"/>
      <c r="B333" s="27"/>
      <c r="C333" s="27"/>
      <c r="D333" s="27"/>
      <c r="E333" s="27"/>
      <c r="F333" s="114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 ht="15.75" customHeight="1">
      <c r="A334" s="114"/>
      <c r="B334" s="27"/>
      <c r="C334" s="27"/>
      <c r="D334" s="27"/>
      <c r="E334" s="27"/>
      <c r="F334" s="114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 ht="15.75" customHeight="1">
      <c r="A335" s="114"/>
      <c r="B335" s="27"/>
      <c r="C335" s="27"/>
      <c r="D335" s="27"/>
      <c r="E335" s="27"/>
      <c r="F335" s="114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 ht="15.75" customHeight="1">
      <c r="A336" s="114"/>
      <c r="B336" s="27"/>
      <c r="C336" s="27"/>
      <c r="D336" s="27"/>
      <c r="E336" s="27"/>
      <c r="F336" s="114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 ht="15.75" customHeight="1">
      <c r="A337" s="114"/>
      <c r="B337" s="27"/>
      <c r="C337" s="27"/>
      <c r="D337" s="27"/>
      <c r="E337" s="27"/>
      <c r="F337" s="114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 ht="15.75" customHeight="1">
      <c r="A338" s="114"/>
      <c r="B338" s="27"/>
      <c r="C338" s="27"/>
      <c r="D338" s="27"/>
      <c r="E338" s="27"/>
      <c r="F338" s="114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 ht="15.75" customHeight="1">
      <c r="A339" s="114"/>
      <c r="B339" s="27"/>
      <c r="C339" s="27"/>
      <c r="D339" s="27"/>
      <c r="E339" s="27"/>
      <c r="F339" s="114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 ht="15.75" customHeight="1">
      <c r="A340" s="114"/>
      <c r="B340" s="27"/>
      <c r="C340" s="27"/>
      <c r="D340" s="27"/>
      <c r="E340" s="27"/>
      <c r="F340" s="114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 ht="15.75" customHeight="1">
      <c r="A341" s="114"/>
      <c r="B341" s="27"/>
      <c r="C341" s="27"/>
      <c r="D341" s="27"/>
      <c r="E341" s="27"/>
      <c r="F341" s="114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 ht="15.75" customHeight="1">
      <c r="A342" s="114"/>
      <c r="B342" s="27"/>
      <c r="C342" s="27"/>
      <c r="D342" s="27"/>
      <c r="E342" s="27"/>
      <c r="F342" s="114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 ht="15.75" customHeight="1">
      <c r="A343" s="114"/>
      <c r="B343" s="27"/>
      <c r="C343" s="27"/>
      <c r="D343" s="27"/>
      <c r="E343" s="27"/>
      <c r="F343" s="114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 ht="15.75" customHeight="1">
      <c r="A344" s="114"/>
      <c r="B344" s="27"/>
      <c r="C344" s="27"/>
      <c r="D344" s="27"/>
      <c r="E344" s="27"/>
      <c r="F344" s="114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 ht="15.75" customHeight="1">
      <c r="A345" s="114"/>
      <c r="B345" s="27"/>
      <c r="C345" s="27"/>
      <c r="D345" s="27"/>
      <c r="E345" s="27"/>
      <c r="F345" s="114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 ht="15.75" customHeight="1">
      <c r="A346" s="114"/>
      <c r="B346" s="27"/>
      <c r="C346" s="27"/>
      <c r="D346" s="27"/>
      <c r="E346" s="27"/>
      <c r="F346" s="114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 ht="15.75" customHeight="1">
      <c r="A347" s="114"/>
      <c r="B347" s="27"/>
      <c r="C347" s="27"/>
      <c r="D347" s="27"/>
      <c r="E347" s="27"/>
      <c r="F347" s="114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 ht="15.75" customHeight="1">
      <c r="A348" s="114"/>
      <c r="B348" s="27"/>
      <c r="C348" s="27"/>
      <c r="D348" s="27"/>
      <c r="E348" s="27"/>
      <c r="F348" s="114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 ht="15.75" customHeight="1">
      <c r="A349" s="114"/>
      <c r="B349" s="27"/>
      <c r="C349" s="27"/>
      <c r="D349" s="27"/>
      <c r="E349" s="27"/>
      <c r="F349" s="114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 ht="15.75" customHeight="1">
      <c r="A350" s="114"/>
      <c r="B350" s="27"/>
      <c r="C350" s="27"/>
      <c r="D350" s="27"/>
      <c r="E350" s="27"/>
      <c r="F350" s="114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 ht="15.75" customHeight="1">
      <c r="A351" s="114"/>
      <c r="B351" s="27"/>
      <c r="C351" s="27"/>
      <c r="D351" s="27"/>
      <c r="E351" s="27"/>
      <c r="F351" s="114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 ht="15.75" customHeight="1">
      <c r="A352" s="114"/>
      <c r="B352" s="27"/>
      <c r="C352" s="27"/>
      <c r="D352" s="27"/>
      <c r="E352" s="27"/>
      <c r="F352" s="114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 ht="15.75" customHeight="1">
      <c r="A353" s="114"/>
      <c r="B353" s="27"/>
      <c r="C353" s="27"/>
      <c r="D353" s="27"/>
      <c r="E353" s="27"/>
      <c r="F353" s="114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 ht="15.75" customHeight="1">
      <c r="A354" s="114"/>
      <c r="B354" s="27"/>
      <c r="C354" s="27"/>
      <c r="D354" s="27"/>
      <c r="E354" s="27"/>
      <c r="F354" s="114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 ht="15.75" customHeight="1">
      <c r="A355" s="114"/>
      <c r="B355" s="27"/>
      <c r="C355" s="27"/>
      <c r="D355" s="27"/>
      <c r="E355" s="27"/>
      <c r="F355" s="114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ht="15.75" customHeight="1">
      <c r="A356" s="114"/>
      <c r="B356" s="27"/>
      <c r="C356" s="27"/>
      <c r="D356" s="27"/>
      <c r="E356" s="27"/>
      <c r="F356" s="114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 ht="15.75" customHeight="1">
      <c r="A357" s="114"/>
      <c r="B357" s="27"/>
      <c r="C357" s="27"/>
      <c r="D357" s="27"/>
      <c r="E357" s="27"/>
      <c r="F357" s="114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 ht="15.75" customHeight="1">
      <c r="A358" s="114"/>
      <c r="B358" s="27"/>
      <c r="C358" s="27"/>
      <c r="D358" s="27"/>
      <c r="E358" s="27"/>
      <c r="F358" s="114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 ht="15.75" customHeight="1">
      <c r="A359" s="114"/>
      <c r="B359" s="27"/>
      <c r="C359" s="27"/>
      <c r="D359" s="27"/>
      <c r="E359" s="27"/>
      <c r="F359" s="114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 ht="15.75" customHeight="1">
      <c r="A360" s="114"/>
      <c r="B360" s="27"/>
      <c r="C360" s="27"/>
      <c r="D360" s="27"/>
      <c r="E360" s="27"/>
      <c r="F360" s="114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 ht="15.75" customHeight="1">
      <c r="A361" s="114"/>
      <c r="B361" s="27"/>
      <c r="C361" s="27"/>
      <c r="D361" s="27"/>
      <c r="E361" s="27"/>
      <c r="F361" s="114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 ht="15.75" customHeight="1">
      <c r="A362" s="114"/>
      <c r="B362" s="27"/>
      <c r="C362" s="27"/>
      <c r="D362" s="27"/>
      <c r="E362" s="27"/>
      <c r="F362" s="114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 ht="15.75" customHeight="1">
      <c r="A363" s="114"/>
      <c r="B363" s="27"/>
      <c r="C363" s="27"/>
      <c r="D363" s="27"/>
      <c r="E363" s="27"/>
      <c r="F363" s="114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 ht="15.75" customHeight="1">
      <c r="A364" s="114"/>
      <c r="B364" s="27"/>
      <c r="C364" s="27"/>
      <c r="D364" s="27"/>
      <c r="E364" s="27"/>
      <c r="F364" s="114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 ht="15.75" customHeight="1">
      <c r="A365" s="114"/>
      <c r="B365" s="27"/>
      <c r="C365" s="27"/>
      <c r="D365" s="27"/>
      <c r="E365" s="27"/>
      <c r="F365" s="114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 ht="15.75" customHeight="1">
      <c r="A366" s="114"/>
      <c r="B366" s="27"/>
      <c r="C366" s="27"/>
      <c r="D366" s="27"/>
      <c r="E366" s="27"/>
      <c r="F366" s="114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 ht="15.75" customHeight="1">
      <c r="A367" s="114"/>
      <c r="B367" s="27"/>
      <c r="C367" s="27"/>
      <c r="D367" s="27"/>
      <c r="E367" s="27"/>
      <c r="F367" s="114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 ht="15.75" customHeight="1">
      <c r="A368" s="114"/>
      <c r="B368" s="27"/>
      <c r="C368" s="27"/>
      <c r="D368" s="27"/>
      <c r="E368" s="27"/>
      <c r="F368" s="114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 ht="15.75" customHeight="1">
      <c r="A369" s="114"/>
      <c r="B369" s="27"/>
      <c r="C369" s="27"/>
      <c r="D369" s="27"/>
      <c r="E369" s="27"/>
      <c r="F369" s="114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 ht="15.75" customHeight="1">
      <c r="A370" s="114"/>
      <c r="B370" s="27"/>
      <c r="C370" s="27"/>
      <c r="D370" s="27"/>
      <c r="E370" s="27"/>
      <c r="F370" s="114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 ht="15.75" customHeight="1">
      <c r="A371" s="114"/>
      <c r="B371" s="27"/>
      <c r="C371" s="27"/>
      <c r="D371" s="27"/>
      <c r="E371" s="27"/>
      <c r="F371" s="114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 ht="15.75" customHeight="1">
      <c r="A372" s="114"/>
      <c r="B372" s="27"/>
      <c r="C372" s="27"/>
      <c r="D372" s="27"/>
      <c r="E372" s="27"/>
      <c r="F372" s="114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 ht="15.75" customHeight="1">
      <c r="A373" s="114"/>
      <c r="B373" s="27"/>
      <c r="C373" s="27"/>
      <c r="D373" s="27"/>
      <c r="E373" s="27"/>
      <c r="F373" s="114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 ht="15.75" customHeight="1">
      <c r="A374" s="114"/>
      <c r="B374" s="27"/>
      <c r="C374" s="27"/>
      <c r="D374" s="27"/>
      <c r="E374" s="27"/>
      <c r="F374" s="114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 ht="15.75" customHeight="1">
      <c r="A375" s="114"/>
      <c r="B375" s="27"/>
      <c r="C375" s="27"/>
      <c r="D375" s="27"/>
      <c r="E375" s="27"/>
      <c r="F375" s="114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 ht="15.75" customHeight="1">
      <c r="A376" s="114"/>
      <c r="B376" s="27"/>
      <c r="C376" s="27"/>
      <c r="D376" s="27"/>
      <c r="E376" s="27"/>
      <c r="F376" s="114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 ht="15.75" customHeight="1">
      <c r="A377" s="114"/>
      <c r="B377" s="27"/>
      <c r="C377" s="27"/>
      <c r="D377" s="27"/>
      <c r="E377" s="27"/>
      <c r="F377" s="114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 ht="15.75" customHeight="1">
      <c r="A378" s="114"/>
      <c r="B378" s="27"/>
      <c r="C378" s="27"/>
      <c r="D378" s="27"/>
      <c r="E378" s="27"/>
      <c r="F378" s="114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 ht="15.75" customHeight="1">
      <c r="A379" s="114"/>
      <c r="B379" s="27"/>
      <c r="C379" s="27"/>
      <c r="D379" s="27"/>
      <c r="E379" s="27"/>
      <c r="F379" s="114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 ht="15.75" customHeight="1">
      <c r="A380" s="114"/>
      <c r="B380" s="27"/>
      <c r="C380" s="27"/>
      <c r="D380" s="27"/>
      <c r="E380" s="27"/>
      <c r="F380" s="114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 ht="15.75" customHeight="1">
      <c r="A381" s="114"/>
      <c r="B381" s="27"/>
      <c r="C381" s="27"/>
      <c r="D381" s="27"/>
      <c r="E381" s="27"/>
      <c r="F381" s="114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 ht="15.75" customHeight="1">
      <c r="A382" s="114"/>
      <c r="B382" s="27"/>
      <c r="C382" s="27"/>
      <c r="D382" s="27"/>
      <c r="E382" s="27"/>
      <c r="F382" s="114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 ht="15.75" customHeight="1">
      <c r="A383" s="114"/>
      <c r="B383" s="27"/>
      <c r="C383" s="27"/>
      <c r="D383" s="27"/>
      <c r="E383" s="27"/>
      <c r="F383" s="114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 ht="15.75" customHeight="1">
      <c r="A384" s="114"/>
      <c r="B384" s="27"/>
      <c r="C384" s="27"/>
      <c r="D384" s="27"/>
      <c r="E384" s="27"/>
      <c r="F384" s="114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 ht="15.75" customHeight="1">
      <c r="A385" s="114"/>
      <c r="B385" s="27"/>
      <c r="C385" s="27"/>
      <c r="D385" s="27"/>
      <c r="E385" s="27"/>
      <c r="F385" s="114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 ht="15.75" customHeight="1">
      <c r="A386" s="114"/>
      <c r="B386" s="27"/>
      <c r="C386" s="27"/>
      <c r="D386" s="27"/>
      <c r="E386" s="27"/>
      <c r="F386" s="114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 ht="15.75" customHeight="1">
      <c r="A387" s="114"/>
      <c r="B387" s="27"/>
      <c r="C387" s="27"/>
      <c r="D387" s="27"/>
      <c r="E387" s="27"/>
      <c r="F387" s="114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 ht="15.75" customHeight="1">
      <c r="A388" s="114"/>
      <c r="B388" s="27"/>
      <c r="C388" s="27"/>
      <c r="D388" s="27"/>
      <c r="E388" s="27"/>
      <c r="F388" s="114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 ht="15.75" customHeight="1">
      <c r="A389" s="114"/>
      <c r="B389" s="27"/>
      <c r="C389" s="27"/>
      <c r="D389" s="27"/>
      <c r="E389" s="27"/>
      <c r="F389" s="114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 ht="15.75" customHeight="1">
      <c r="A390" s="114"/>
      <c r="B390" s="27"/>
      <c r="C390" s="27"/>
      <c r="D390" s="27"/>
      <c r="E390" s="27"/>
      <c r="F390" s="114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 ht="15.75" customHeight="1">
      <c r="A391" s="114"/>
      <c r="B391" s="27"/>
      <c r="C391" s="27"/>
      <c r="D391" s="27"/>
      <c r="E391" s="27"/>
      <c r="F391" s="114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 ht="15.75" customHeight="1">
      <c r="A392" s="114"/>
      <c r="B392" s="27"/>
      <c r="C392" s="27"/>
      <c r="D392" s="27"/>
      <c r="E392" s="27"/>
      <c r="F392" s="114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 ht="15.75" customHeight="1">
      <c r="A393" s="114"/>
      <c r="B393" s="27"/>
      <c r="C393" s="27"/>
      <c r="D393" s="27"/>
      <c r="E393" s="27"/>
      <c r="F393" s="114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 ht="15.75" customHeight="1">
      <c r="A394" s="114"/>
      <c r="B394" s="27"/>
      <c r="C394" s="27"/>
      <c r="D394" s="27"/>
      <c r="E394" s="27"/>
      <c r="F394" s="114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 ht="15.75" customHeight="1">
      <c r="A395" s="114"/>
      <c r="B395" s="27"/>
      <c r="C395" s="27"/>
      <c r="D395" s="27"/>
      <c r="E395" s="27"/>
      <c r="F395" s="114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 ht="15.75" customHeight="1">
      <c r="A396" s="114"/>
      <c r="B396" s="27"/>
      <c r="C396" s="27"/>
      <c r="D396" s="27"/>
      <c r="E396" s="27"/>
      <c r="F396" s="114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 ht="15.75" customHeight="1">
      <c r="A397" s="114"/>
      <c r="B397" s="27"/>
      <c r="C397" s="27"/>
      <c r="D397" s="27"/>
      <c r="E397" s="27"/>
      <c r="F397" s="114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 ht="15.75" customHeight="1">
      <c r="A398" s="114"/>
      <c r="B398" s="27"/>
      <c r="C398" s="27"/>
      <c r="D398" s="27"/>
      <c r="E398" s="27"/>
      <c r="F398" s="114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ht="15.75" customHeight="1">
      <c r="A399" s="114"/>
      <c r="B399" s="27"/>
      <c r="C399" s="27"/>
      <c r="D399" s="27"/>
      <c r="E399" s="27"/>
      <c r="F399" s="114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 ht="15.75" customHeight="1">
      <c r="A400" s="114"/>
      <c r="B400" s="27"/>
      <c r="C400" s="27"/>
      <c r="D400" s="27"/>
      <c r="E400" s="27"/>
      <c r="F400" s="114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 ht="15.75" customHeight="1">
      <c r="A401" s="114"/>
      <c r="B401" s="27"/>
      <c r="C401" s="27"/>
      <c r="D401" s="27"/>
      <c r="E401" s="27"/>
      <c r="F401" s="114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 ht="15.75" customHeight="1">
      <c r="A402" s="114"/>
      <c r="B402" s="27"/>
      <c r="C402" s="27"/>
      <c r="D402" s="27"/>
      <c r="E402" s="27"/>
      <c r="F402" s="114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 ht="15.75" customHeight="1">
      <c r="A403" s="114"/>
      <c r="B403" s="27"/>
      <c r="C403" s="27"/>
      <c r="D403" s="27"/>
      <c r="E403" s="27"/>
      <c r="F403" s="114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 ht="15.75" customHeight="1">
      <c r="A404" s="114"/>
      <c r="B404" s="27"/>
      <c r="C404" s="27"/>
      <c r="D404" s="27"/>
      <c r="E404" s="27"/>
      <c r="F404" s="114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 ht="15.75" customHeight="1">
      <c r="A405" s="114"/>
      <c r="B405" s="27"/>
      <c r="C405" s="27"/>
      <c r="D405" s="27"/>
      <c r="E405" s="27"/>
      <c r="F405" s="114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 ht="15.75" customHeight="1">
      <c r="A406" s="114"/>
      <c r="B406" s="27"/>
      <c r="C406" s="27"/>
      <c r="D406" s="27"/>
      <c r="E406" s="27"/>
      <c r="F406" s="114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 ht="15.75" customHeight="1">
      <c r="A407" s="114"/>
      <c r="B407" s="27"/>
      <c r="C407" s="27"/>
      <c r="D407" s="27"/>
      <c r="E407" s="27"/>
      <c r="F407" s="114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 ht="15.75" customHeight="1">
      <c r="A408" s="114"/>
      <c r="B408" s="27"/>
      <c r="C408" s="27"/>
      <c r="D408" s="27"/>
      <c r="E408" s="27"/>
      <c r="F408" s="114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 ht="15.75" customHeight="1">
      <c r="A409" s="114"/>
      <c r="B409" s="27"/>
      <c r="C409" s="27"/>
      <c r="D409" s="27"/>
      <c r="E409" s="27"/>
      <c r="F409" s="114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 ht="15.75" customHeight="1">
      <c r="A410" s="114"/>
      <c r="B410" s="27"/>
      <c r="C410" s="27"/>
      <c r="D410" s="27"/>
      <c r="E410" s="27"/>
      <c r="F410" s="114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 ht="15.75" customHeight="1">
      <c r="A411" s="114"/>
      <c r="B411" s="27"/>
      <c r="C411" s="27"/>
      <c r="D411" s="27"/>
      <c r="E411" s="27"/>
      <c r="F411" s="114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 ht="15.75" customHeight="1">
      <c r="A412" s="114"/>
      <c r="B412" s="27"/>
      <c r="C412" s="27"/>
      <c r="D412" s="27"/>
      <c r="E412" s="27"/>
      <c r="F412" s="114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 ht="15.75" customHeight="1">
      <c r="A413" s="114"/>
      <c r="B413" s="27"/>
      <c r="C413" s="27"/>
      <c r="D413" s="27"/>
      <c r="E413" s="27"/>
      <c r="F413" s="114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 ht="15.75" customHeight="1">
      <c r="A414" s="114"/>
      <c r="B414" s="27"/>
      <c r="C414" s="27"/>
      <c r="D414" s="27"/>
      <c r="E414" s="27"/>
      <c r="F414" s="114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 ht="15.75" customHeight="1">
      <c r="A415" s="114"/>
      <c r="B415" s="27"/>
      <c r="C415" s="27"/>
      <c r="D415" s="27"/>
      <c r="E415" s="27"/>
      <c r="F415" s="114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 ht="15.75" customHeight="1">
      <c r="A416" s="114"/>
      <c r="B416" s="27"/>
      <c r="C416" s="27"/>
      <c r="D416" s="27"/>
      <c r="E416" s="27"/>
      <c r="F416" s="114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 ht="15.75" customHeight="1">
      <c r="A417" s="114"/>
      <c r="B417" s="27"/>
      <c r="C417" s="27"/>
      <c r="D417" s="27"/>
      <c r="E417" s="27"/>
      <c r="F417" s="114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 ht="15.75" customHeight="1">
      <c r="A418" s="114"/>
      <c r="B418" s="27"/>
      <c r="C418" s="27"/>
      <c r="D418" s="27"/>
      <c r="E418" s="27"/>
      <c r="F418" s="114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 ht="15.75" customHeight="1">
      <c r="A419" s="114"/>
      <c r="B419" s="27"/>
      <c r="C419" s="27"/>
      <c r="D419" s="27"/>
      <c r="E419" s="27"/>
      <c r="F419" s="114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 ht="15.75" customHeight="1">
      <c r="A420" s="114"/>
      <c r="B420" s="27"/>
      <c r="C420" s="27"/>
      <c r="D420" s="27"/>
      <c r="E420" s="27"/>
      <c r="F420" s="114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 ht="15.75" customHeight="1">
      <c r="A421" s="114"/>
      <c r="B421" s="27"/>
      <c r="C421" s="27"/>
      <c r="D421" s="27"/>
      <c r="E421" s="27"/>
      <c r="F421" s="114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ht="15.75" customHeight="1">
      <c r="A422" s="114"/>
      <c r="B422" s="27"/>
      <c r="C422" s="27"/>
      <c r="D422" s="27"/>
      <c r="E422" s="27"/>
      <c r="F422" s="114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ht="15.75" customHeight="1">
      <c r="A423" s="114"/>
      <c r="B423" s="27"/>
      <c r="C423" s="27"/>
      <c r="D423" s="27"/>
      <c r="E423" s="27"/>
      <c r="F423" s="114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ht="15.75" customHeight="1">
      <c r="A424" s="114"/>
      <c r="B424" s="27"/>
      <c r="C424" s="27"/>
      <c r="D424" s="27"/>
      <c r="E424" s="27"/>
      <c r="F424" s="114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ht="15.75" customHeight="1">
      <c r="A425" s="114"/>
      <c r="B425" s="27"/>
      <c r="C425" s="27"/>
      <c r="D425" s="27"/>
      <c r="E425" s="27"/>
      <c r="F425" s="114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ht="15.75" customHeight="1">
      <c r="A426" s="114"/>
      <c r="B426" s="27"/>
      <c r="C426" s="27"/>
      <c r="D426" s="27"/>
      <c r="E426" s="27"/>
      <c r="F426" s="114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ht="15.75" customHeight="1">
      <c r="A427" s="114"/>
      <c r="B427" s="27"/>
      <c r="C427" s="27"/>
      <c r="D427" s="27"/>
      <c r="E427" s="27"/>
      <c r="F427" s="114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ht="15.75" customHeight="1">
      <c r="A428" s="114"/>
      <c r="B428" s="27"/>
      <c r="C428" s="27"/>
      <c r="D428" s="27"/>
      <c r="E428" s="27"/>
      <c r="F428" s="114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ht="15.75" customHeight="1">
      <c r="A429" s="114"/>
      <c r="B429" s="27"/>
      <c r="C429" s="27"/>
      <c r="D429" s="27"/>
      <c r="E429" s="27"/>
      <c r="F429" s="114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ht="15.75" customHeight="1">
      <c r="A430" s="114"/>
      <c r="B430" s="27"/>
      <c r="C430" s="27"/>
      <c r="D430" s="27"/>
      <c r="E430" s="27"/>
      <c r="F430" s="114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ht="15.75" customHeight="1">
      <c r="A431" s="114"/>
      <c r="B431" s="27"/>
      <c r="C431" s="27"/>
      <c r="D431" s="27"/>
      <c r="E431" s="27"/>
      <c r="F431" s="114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ht="15.75" customHeight="1">
      <c r="A432" s="114"/>
      <c r="B432" s="27"/>
      <c r="C432" s="27"/>
      <c r="D432" s="27"/>
      <c r="E432" s="27"/>
      <c r="F432" s="114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ht="15.75" customHeight="1">
      <c r="A433" s="114"/>
      <c r="B433" s="27"/>
      <c r="C433" s="27"/>
      <c r="D433" s="27"/>
      <c r="E433" s="27"/>
      <c r="F433" s="114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ht="15.75" customHeight="1">
      <c r="A434" s="114"/>
      <c r="B434" s="27"/>
      <c r="C434" s="27"/>
      <c r="D434" s="27"/>
      <c r="E434" s="27"/>
      <c r="F434" s="114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ht="15.75" customHeight="1">
      <c r="A435" s="114"/>
      <c r="B435" s="27"/>
      <c r="C435" s="27"/>
      <c r="D435" s="27"/>
      <c r="E435" s="27"/>
      <c r="F435" s="114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ht="15.75" customHeight="1">
      <c r="A436" s="114"/>
      <c r="B436" s="27"/>
      <c r="C436" s="27"/>
      <c r="D436" s="27"/>
      <c r="E436" s="27"/>
      <c r="F436" s="114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ht="15.75" customHeight="1">
      <c r="A437" s="114"/>
      <c r="B437" s="27"/>
      <c r="C437" s="27"/>
      <c r="D437" s="27"/>
      <c r="E437" s="27"/>
      <c r="F437" s="114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ht="15.75" customHeight="1">
      <c r="A438" s="114"/>
      <c r="B438" s="27"/>
      <c r="C438" s="27"/>
      <c r="D438" s="27"/>
      <c r="E438" s="27"/>
      <c r="F438" s="114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ht="15.75" customHeight="1">
      <c r="A439" s="114"/>
      <c r="B439" s="27"/>
      <c r="C439" s="27"/>
      <c r="D439" s="27"/>
      <c r="E439" s="27"/>
      <c r="F439" s="114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ht="15.75" customHeight="1">
      <c r="A440" s="114"/>
      <c r="B440" s="27"/>
      <c r="C440" s="27"/>
      <c r="D440" s="27"/>
      <c r="E440" s="27"/>
      <c r="F440" s="114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ht="15.75" customHeight="1">
      <c r="A441" s="114"/>
      <c r="B441" s="27"/>
      <c r="C441" s="27"/>
      <c r="D441" s="27"/>
      <c r="E441" s="27"/>
      <c r="F441" s="114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ht="15.75" customHeight="1">
      <c r="A442" s="114"/>
      <c r="B442" s="27"/>
      <c r="C442" s="27"/>
      <c r="D442" s="27"/>
      <c r="E442" s="27"/>
      <c r="F442" s="114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ht="15.75" customHeight="1">
      <c r="A443" s="114"/>
      <c r="B443" s="27"/>
      <c r="C443" s="27"/>
      <c r="D443" s="27"/>
      <c r="E443" s="27"/>
      <c r="F443" s="114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ht="15.75" customHeight="1">
      <c r="A444" s="114"/>
      <c r="B444" s="27"/>
      <c r="C444" s="27"/>
      <c r="D444" s="27"/>
      <c r="E444" s="27"/>
      <c r="F444" s="114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ht="15.75" customHeight="1">
      <c r="A445" s="114"/>
      <c r="B445" s="27"/>
      <c r="C445" s="27"/>
      <c r="D445" s="27"/>
      <c r="E445" s="27"/>
      <c r="F445" s="114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 ht="15.75" customHeight="1">
      <c r="A446" s="114"/>
      <c r="B446" s="27"/>
      <c r="C446" s="27"/>
      <c r="D446" s="27"/>
      <c r="E446" s="27"/>
      <c r="F446" s="114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 ht="15.75" customHeight="1">
      <c r="A447" s="114"/>
      <c r="B447" s="27"/>
      <c r="C447" s="27"/>
      <c r="D447" s="27"/>
      <c r="E447" s="27"/>
      <c r="F447" s="114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 ht="15.75" customHeight="1">
      <c r="A448" s="114"/>
      <c r="B448" s="27"/>
      <c r="C448" s="27"/>
      <c r="D448" s="27"/>
      <c r="E448" s="27"/>
      <c r="F448" s="114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 ht="15.75" customHeight="1">
      <c r="A449" s="114"/>
      <c r="B449" s="27"/>
      <c r="C449" s="27"/>
      <c r="D449" s="27"/>
      <c r="E449" s="27"/>
      <c r="F449" s="114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 ht="15.75" customHeight="1">
      <c r="A450" s="114"/>
      <c r="B450" s="27"/>
      <c r="C450" s="27"/>
      <c r="D450" s="27"/>
      <c r="E450" s="27"/>
      <c r="F450" s="114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 ht="15.75" customHeight="1">
      <c r="A451" s="114"/>
      <c r="B451" s="27"/>
      <c r="C451" s="27"/>
      <c r="D451" s="27"/>
      <c r="E451" s="27"/>
      <c r="F451" s="114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 ht="15.75" customHeight="1">
      <c r="A452" s="114"/>
      <c r="B452" s="27"/>
      <c r="C452" s="27"/>
      <c r="D452" s="27"/>
      <c r="E452" s="27"/>
      <c r="F452" s="114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ht="15.75" customHeight="1">
      <c r="A453" s="114"/>
      <c r="B453" s="27"/>
      <c r="C453" s="27"/>
      <c r="D453" s="27"/>
      <c r="E453" s="27"/>
      <c r="F453" s="114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 ht="15.75" customHeight="1">
      <c r="A454" s="114"/>
      <c r="B454" s="27"/>
      <c r="C454" s="27"/>
      <c r="D454" s="27"/>
      <c r="E454" s="27"/>
      <c r="F454" s="114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ht="15.75" customHeight="1">
      <c r="A455" s="114"/>
      <c r="B455" s="27"/>
      <c r="C455" s="27"/>
      <c r="D455" s="27"/>
      <c r="E455" s="27"/>
      <c r="F455" s="114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 ht="15.75" customHeight="1">
      <c r="A456" s="114"/>
      <c r="B456" s="27"/>
      <c r="C456" s="27"/>
      <c r="D456" s="27"/>
      <c r="E456" s="27"/>
      <c r="F456" s="114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 ht="15.75" customHeight="1">
      <c r="A457" s="114"/>
      <c r="B457" s="27"/>
      <c r="C457" s="27"/>
      <c r="D457" s="27"/>
      <c r="E457" s="27"/>
      <c r="F457" s="114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 ht="15.75" customHeight="1">
      <c r="A458" s="114"/>
      <c r="B458" s="27"/>
      <c r="C458" s="27"/>
      <c r="D458" s="27"/>
      <c r="E458" s="27"/>
      <c r="F458" s="114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 ht="15.75" customHeight="1">
      <c r="A459" s="114"/>
      <c r="B459" s="27"/>
      <c r="C459" s="27"/>
      <c r="D459" s="27"/>
      <c r="E459" s="27"/>
      <c r="F459" s="114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 ht="15.75" customHeight="1">
      <c r="A460" s="114"/>
      <c r="B460" s="27"/>
      <c r="C460" s="27"/>
      <c r="D460" s="27"/>
      <c r="E460" s="27"/>
      <c r="F460" s="114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 ht="15.75" customHeight="1">
      <c r="A461" s="114"/>
      <c r="B461" s="27"/>
      <c r="C461" s="27"/>
      <c r="D461" s="27"/>
      <c r="E461" s="27"/>
      <c r="F461" s="114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 ht="15.75" customHeight="1">
      <c r="A462" s="114"/>
      <c r="B462" s="27"/>
      <c r="C462" s="27"/>
      <c r="D462" s="27"/>
      <c r="E462" s="27"/>
      <c r="F462" s="114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 ht="15.75" customHeight="1">
      <c r="A463" s="114"/>
      <c r="B463" s="27"/>
      <c r="C463" s="27"/>
      <c r="D463" s="27"/>
      <c r="E463" s="27"/>
      <c r="F463" s="114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 ht="15.75" customHeight="1">
      <c r="A464" s="114"/>
      <c r="B464" s="27"/>
      <c r="C464" s="27"/>
      <c r="D464" s="27"/>
      <c r="E464" s="27"/>
      <c r="F464" s="114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 ht="15.75" customHeight="1">
      <c r="A465" s="114"/>
      <c r="B465" s="27"/>
      <c r="C465" s="27"/>
      <c r="D465" s="27"/>
      <c r="E465" s="27"/>
      <c r="F465" s="114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 ht="15.75" customHeight="1">
      <c r="A466" s="114"/>
      <c r="B466" s="27"/>
      <c r="C466" s="27"/>
      <c r="D466" s="27"/>
      <c r="E466" s="27"/>
      <c r="F466" s="114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 ht="15.75" customHeight="1">
      <c r="A467" s="114"/>
      <c r="B467" s="27"/>
      <c r="C467" s="27"/>
      <c r="D467" s="27"/>
      <c r="E467" s="27"/>
      <c r="F467" s="114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 ht="15.75" customHeight="1">
      <c r="A468" s="114"/>
      <c r="B468" s="27"/>
      <c r="C468" s="27"/>
      <c r="D468" s="27"/>
      <c r="E468" s="27"/>
      <c r="F468" s="114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 ht="15.75" customHeight="1">
      <c r="A469" s="114"/>
      <c r="B469" s="27"/>
      <c r="C469" s="27"/>
      <c r="D469" s="27"/>
      <c r="E469" s="27"/>
      <c r="F469" s="114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 ht="15.75" customHeight="1">
      <c r="A470" s="114"/>
      <c r="B470" s="27"/>
      <c r="C470" s="27"/>
      <c r="D470" s="27"/>
      <c r="E470" s="27"/>
      <c r="F470" s="114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 ht="15.75" customHeight="1">
      <c r="A471" s="114"/>
      <c r="B471" s="27"/>
      <c r="C471" s="27"/>
      <c r="D471" s="27"/>
      <c r="E471" s="27"/>
      <c r="F471" s="114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 ht="15.75" customHeight="1">
      <c r="A472" s="114"/>
      <c r="B472" s="27"/>
      <c r="C472" s="27"/>
      <c r="D472" s="27"/>
      <c r="E472" s="27"/>
      <c r="F472" s="114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 ht="15.75" customHeight="1">
      <c r="A473" s="114"/>
      <c r="B473" s="27"/>
      <c r="C473" s="27"/>
      <c r="D473" s="27"/>
      <c r="E473" s="27"/>
      <c r="F473" s="114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 ht="15.75" customHeight="1">
      <c r="A474" s="114"/>
      <c r="B474" s="27"/>
      <c r="C474" s="27"/>
      <c r="D474" s="27"/>
      <c r="E474" s="27"/>
      <c r="F474" s="114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 ht="15.75" customHeight="1">
      <c r="A475" s="114"/>
      <c r="B475" s="27"/>
      <c r="C475" s="27"/>
      <c r="D475" s="27"/>
      <c r="E475" s="27"/>
      <c r="F475" s="114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 ht="15.75" customHeight="1">
      <c r="A476" s="114"/>
      <c r="B476" s="27"/>
      <c r="C476" s="27"/>
      <c r="D476" s="27"/>
      <c r="E476" s="27"/>
      <c r="F476" s="114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 ht="15.75" customHeight="1">
      <c r="A477" s="114"/>
      <c r="B477" s="27"/>
      <c r="C477" s="27"/>
      <c r="D477" s="27"/>
      <c r="E477" s="27"/>
      <c r="F477" s="114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 ht="15.75" customHeight="1">
      <c r="A478" s="114"/>
      <c r="B478" s="27"/>
      <c r="C478" s="27"/>
      <c r="D478" s="27"/>
      <c r="E478" s="27"/>
      <c r="F478" s="114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 ht="15.75" customHeight="1">
      <c r="A479" s="114"/>
      <c r="B479" s="27"/>
      <c r="C479" s="27"/>
      <c r="D479" s="27"/>
      <c r="E479" s="27"/>
      <c r="F479" s="114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 ht="15.75" customHeight="1">
      <c r="A480" s="114"/>
      <c r="B480" s="27"/>
      <c r="C480" s="27"/>
      <c r="D480" s="27"/>
      <c r="E480" s="27"/>
      <c r="F480" s="114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 ht="15.75" customHeight="1">
      <c r="A481" s="114"/>
      <c r="B481" s="27"/>
      <c r="C481" s="27"/>
      <c r="D481" s="27"/>
      <c r="E481" s="27"/>
      <c r="F481" s="114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 ht="15.75" customHeight="1">
      <c r="A482" s="114"/>
      <c r="B482" s="27"/>
      <c r="C482" s="27"/>
      <c r="D482" s="27"/>
      <c r="E482" s="27"/>
      <c r="F482" s="114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 ht="15.75" customHeight="1">
      <c r="A483" s="114"/>
      <c r="B483" s="27"/>
      <c r="C483" s="27"/>
      <c r="D483" s="27"/>
      <c r="E483" s="27"/>
      <c r="F483" s="114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 ht="15.75" customHeight="1">
      <c r="A484" s="114"/>
      <c r="B484" s="27"/>
      <c r="C484" s="27"/>
      <c r="D484" s="27"/>
      <c r="E484" s="27"/>
      <c r="F484" s="114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 ht="15.75" customHeight="1">
      <c r="A485" s="114"/>
      <c r="B485" s="27"/>
      <c r="C485" s="27"/>
      <c r="D485" s="27"/>
      <c r="E485" s="27"/>
      <c r="F485" s="114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 ht="15.75" customHeight="1">
      <c r="A486" s="114"/>
      <c r="B486" s="27"/>
      <c r="C486" s="27"/>
      <c r="D486" s="27"/>
      <c r="E486" s="27"/>
      <c r="F486" s="114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 ht="15.75" customHeight="1">
      <c r="A487" s="114"/>
      <c r="B487" s="27"/>
      <c r="C487" s="27"/>
      <c r="D487" s="27"/>
      <c r="E487" s="27"/>
      <c r="F487" s="114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 ht="15.75" customHeight="1">
      <c r="A488" s="114"/>
      <c r="B488" s="27"/>
      <c r="C488" s="27"/>
      <c r="D488" s="27"/>
      <c r="E488" s="27"/>
      <c r="F488" s="114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 ht="15.75" customHeight="1">
      <c r="A489" s="114"/>
      <c r="B489" s="27"/>
      <c r="C489" s="27"/>
      <c r="D489" s="27"/>
      <c r="E489" s="27"/>
      <c r="F489" s="114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 ht="15.75" customHeight="1">
      <c r="A490" s="114"/>
      <c r="B490" s="27"/>
      <c r="C490" s="27"/>
      <c r="D490" s="27"/>
      <c r="E490" s="27"/>
      <c r="F490" s="114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 ht="15.75" customHeight="1">
      <c r="A491" s="114"/>
      <c r="B491" s="27"/>
      <c r="C491" s="27"/>
      <c r="D491" s="27"/>
      <c r="E491" s="27"/>
      <c r="F491" s="114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 ht="15.75" customHeight="1">
      <c r="A492" s="114"/>
      <c r="B492" s="27"/>
      <c r="C492" s="27"/>
      <c r="D492" s="27"/>
      <c r="E492" s="27"/>
      <c r="F492" s="114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 ht="15.75" customHeight="1">
      <c r="A493" s="114"/>
      <c r="B493" s="27"/>
      <c r="C493" s="27"/>
      <c r="D493" s="27"/>
      <c r="E493" s="27"/>
      <c r="F493" s="114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 ht="15.75" customHeight="1">
      <c r="A494" s="114"/>
      <c r="B494" s="27"/>
      <c r="C494" s="27"/>
      <c r="D494" s="27"/>
      <c r="E494" s="27"/>
      <c r="F494" s="114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 ht="15.75" customHeight="1">
      <c r="A495" s="114"/>
      <c r="B495" s="27"/>
      <c r="C495" s="27"/>
      <c r="D495" s="27"/>
      <c r="E495" s="27"/>
      <c r="F495" s="114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 ht="15.75" customHeight="1">
      <c r="A496" s="114"/>
      <c r="B496" s="27"/>
      <c r="C496" s="27"/>
      <c r="D496" s="27"/>
      <c r="E496" s="27"/>
      <c r="F496" s="114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 ht="15.75" customHeight="1">
      <c r="A497" s="114"/>
      <c r="B497" s="27"/>
      <c r="C497" s="27"/>
      <c r="D497" s="27"/>
      <c r="E497" s="27"/>
      <c r="F497" s="114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 ht="15.75" customHeight="1">
      <c r="A498" s="114"/>
      <c r="B498" s="27"/>
      <c r="C498" s="27"/>
      <c r="D498" s="27"/>
      <c r="E498" s="27"/>
      <c r="F498" s="114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 ht="15.75" customHeight="1">
      <c r="A499" s="114"/>
      <c r="B499" s="27"/>
      <c r="C499" s="27"/>
      <c r="D499" s="27"/>
      <c r="E499" s="27"/>
      <c r="F499" s="114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 ht="15.75" customHeight="1">
      <c r="A500" s="114"/>
      <c r="B500" s="27"/>
      <c r="C500" s="27"/>
      <c r="D500" s="27"/>
      <c r="E500" s="27"/>
      <c r="F500" s="114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 ht="15.75" customHeight="1">
      <c r="A501" s="114"/>
      <c r="B501" s="27"/>
      <c r="C501" s="27"/>
      <c r="D501" s="27"/>
      <c r="E501" s="27"/>
      <c r="F501" s="114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 ht="15.75" customHeight="1">
      <c r="A502" s="114"/>
      <c r="B502" s="27"/>
      <c r="C502" s="27"/>
      <c r="D502" s="27"/>
      <c r="E502" s="27"/>
      <c r="F502" s="114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 ht="15.75" customHeight="1">
      <c r="A503" s="114"/>
      <c r="B503" s="27"/>
      <c r="C503" s="27"/>
      <c r="D503" s="27"/>
      <c r="E503" s="27"/>
      <c r="F503" s="114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 ht="15.75" customHeight="1">
      <c r="A504" s="114"/>
      <c r="B504" s="27"/>
      <c r="C504" s="27"/>
      <c r="D504" s="27"/>
      <c r="E504" s="27"/>
      <c r="F504" s="114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 ht="15.75" customHeight="1">
      <c r="A505" s="114"/>
      <c r="B505" s="27"/>
      <c r="C505" s="27"/>
      <c r="D505" s="27"/>
      <c r="E505" s="27"/>
      <c r="F505" s="114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 ht="15.75" customHeight="1">
      <c r="A506" s="114"/>
      <c r="B506" s="27"/>
      <c r="C506" s="27"/>
      <c r="D506" s="27"/>
      <c r="E506" s="27"/>
      <c r="F506" s="114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 ht="15.75" customHeight="1">
      <c r="A507" s="114"/>
      <c r="B507" s="27"/>
      <c r="C507" s="27"/>
      <c r="D507" s="27"/>
      <c r="E507" s="27"/>
      <c r="F507" s="114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 ht="15.75" customHeight="1">
      <c r="A508" s="114"/>
      <c r="B508" s="27"/>
      <c r="C508" s="27"/>
      <c r="D508" s="27"/>
      <c r="E508" s="27"/>
      <c r="F508" s="114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 ht="15.75" customHeight="1">
      <c r="A509" s="114"/>
      <c r="B509" s="27"/>
      <c r="C509" s="27"/>
      <c r="D509" s="27"/>
      <c r="E509" s="27"/>
      <c r="F509" s="114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 ht="15.75" customHeight="1">
      <c r="A510" s="114"/>
      <c r="B510" s="27"/>
      <c r="C510" s="27"/>
      <c r="D510" s="27"/>
      <c r="E510" s="27"/>
      <c r="F510" s="114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 ht="15.75" customHeight="1">
      <c r="A511" s="114"/>
      <c r="B511" s="27"/>
      <c r="C511" s="27"/>
      <c r="D511" s="27"/>
      <c r="E511" s="27"/>
      <c r="F511" s="114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 ht="15.75" customHeight="1">
      <c r="A512" s="114"/>
      <c r="B512" s="27"/>
      <c r="C512" s="27"/>
      <c r="D512" s="27"/>
      <c r="E512" s="27"/>
      <c r="F512" s="114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 ht="15.75" customHeight="1">
      <c r="A513" s="114"/>
      <c r="B513" s="27"/>
      <c r="C513" s="27"/>
      <c r="D513" s="27"/>
      <c r="E513" s="27"/>
      <c r="F513" s="114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 ht="15.75" customHeight="1">
      <c r="A514" s="114"/>
      <c r="B514" s="27"/>
      <c r="C514" s="27"/>
      <c r="D514" s="27"/>
      <c r="E514" s="27"/>
      <c r="F514" s="114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 ht="15.75" customHeight="1">
      <c r="A515" s="114"/>
      <c r="B515" s="27"/>
      <c r="C515" s="27"/>
      <c r="D515" s="27"/>
      <c r="E515" s="27"/>
      <c r="F515" s="114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 ht="15.75" customHeight="1">
      <c r="A516" s="114"/>
      <c r="B516" s="27"/>
      <c r="C516" s="27"/>
      <c r="D516" s="27"/>
      <c r="E516" s="27"/>
      <c r="F516" s="114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 ht="15.75" customHeight="1">
      <c r="A517" s="114"/>
      <c r="B517" s="27"/>
      <c r="C517" s="27"/>
      <c r="D517" s="27"/>
      <c r="E517" s="27"/>
      <c r="F517" s="114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 ht="15.75" customHeight="1">
      <c r="A518" s="114"/>
      <c r="B518" s="27"/>
      <c r="C518" s="27"/>
      <c r="D518" s="27"/>
      <c r="E518" s="27"/>
      <c r="F518" s="114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 ht="15.75" customHeight="1">
      <c r="A519" s="114"/>
      <c r="B519" s="27"/>
      <c r="C519" s="27"/>
      <c r="D519" s="27"/>
      <c r="E519" s="27"/>
      <c r="F519" s="114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 ht="15.75" customHeight="1">
      <c r="A520" s="114"/>
      <c r="B520" s="27"/>
      <c r="C520" s="27"/>
      <c r="D520" s="27"/>
      <c r="E520" s="27"/>
      <c r="F520" s="114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 ht="15.75" customHeight="1">
      <c r="A521" s="114"/>
      <c r="B521" s="27"/>
      <c r="C521" s="27"/>
      <c r="D521" s="27"/>
      <c r="E521" s="27"/>
      <c r="F521" s="114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 ht="15.75" customHeight="1">
      <c r="A522" s="114"/>
      <c r="B522" s="27"/>
      <c r="C522" s="27"/>
      <c r="D522" s="27"/>
      <c r="E522" s="27"/>
      <c r="F522" s="114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 ht="15.75" customHeight="1">
      <c r="A523" s="114"/>
      <c r="B523" s="27"/>
      <c r="C523" s="27"/>
      <c r="D523" s="27"/>
      <c r="E523" s="27"/>
      <c r="F523" s="114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 ht="15.75" customHeight="1">
      <c r="A524" s="114"/>
      <c r="B524" s="27"/>
      <c r="C524" s="27"/>
      <c r="D524" s="27"/>
      <c r="E524" s="27"/>
      <c r="F524" s="114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 ht="15.75" customHeight="1">
      <c r="A525" s="114"/>
      <c r="B525" s="27"/>
      <c r="C525" s="27"/>
      <c r="D525" s="27"/>
      <c r="E525" s="27"/>
      <c r="F525" s="114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 ht="15.75" customHeight="1">
      <c r="A526" s="114"/>
      <c r="B526" s="27"/>
      <c r="C526" s="27"/>
      <c r="D526" s="27"/>
      <c r="E526" s="27"/>
      <c r="F526" s="114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 ht="15.75" customHeight="1">
      <c r="A527" s="114"/>
      <c r="B527" s="27"/>
      <c r="C527" s="27"/>
      <c r="D527" s="27"/>
      <c r="E527" s="27"/>
      <c r="F527" s="114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 ht="15.75" customHeight="1">
      <c r="A528" s="114"/>
      <c r="B528" s="27"/>
      <c r="C528" s="27"/>
      <c r="D528" s="27"/>
      <c r="E528" s="27"/>
      <c r="F528" s="114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ht="15.75" customHeight="1">
      <c r="A529" s="114"/>
      <c r="B529" s="27"/>
      <c r="C529" s="27"/>
      <c r="D529" s="27"/>
      <c r="E529" s="27"/>
      <c r="F529" s="114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 ht="15.75" customHeight="1">
      <c r="A530" s="114"/>
      <c r="B530" s="27"/>
      <c r="C530" s="27"/>
      <c r="D530" s="27"/>
      <c r="E530" s="27"/>
      <c r="F530" s="114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 ht="15.75" customHeight="1">
      <c r="A531" s="114"/>
      <c r="B531" s="27"/>
      <c r="C531" s="27"/>
      <c r="D531" s="27"/>
      <c r="E531" s="27"/>
      <c r="F531" s="114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 ht="15.75" customHeight="1">
      <c r="A532" s="114"/>
      <c r="B532" s="27"/>
      <c r="C532" s="27"/>
      <c r="D532" s="27"/>
      <c r="E532" s="27"/>
      <c r="F532" s="114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 ht="15.75" customHeight="1">
      <c r="A533" s="114"/>
      <c r="B533" s="27"/>
      <c r="C533" s="27"/>
      <c r="D533" s="27"/>
      <c r="E533" s="27"/>
      <c r="F533" s="114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 ht="15.75" customHeight="1">
      <c r="A534" s="114"/>
      <c r="B534" s="27"/>
      <c r="C534" s="27"/>
      <c r="D534" s="27"/>
      <c r="E534" s="27"/>
      <c r="F534" s="114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 ht="15.75" customHeight="1">
      <c r="A535" s="114"/>
      <c r="B535" s="27"/>
      <c r="C535" s="27"/>
      <c r="D535" s="27"/>
      <c r="E535" s="27"/>
      <c r="F535" s="114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 ht="15.75" customHeight="1">
      <c r="A536" s="114"/>
      <c r="B536" s="27"/>
      <c r="C536" s="27"/>
      <c r="D536" s="27"/>
      <c r="E536" s="27"/>
      <c r="F536" s="114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 ht="15.75" customHeight="1">
      <c r="A537" s="114"/>
      <c r="B537" s="27"/>
      <c r="C537" s="27"/>
      <c r="D537" s="27"/>
      <c r="E537" s="27"/>
      <c r="F537" s="114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 ht="15.75" customHeight="1">
      <c r="A538" s="114"/>
      <c r="B538" s="27"/>
      <c r="C538" s="27"/>
      <c r="D538" s="27"/>
      <c r="E538" s="27"/>
      <c r="F538" s="114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 ht="15.75" customHeight="1">
      <c r="A539" s="114"/>
      <c r="B539" s="27"/>
      <c r="C539" s="27"/>
      <c r="D539" s="27"/>
      <c r="E539" s="27"/>
      <c r="F539" s="114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 ht="15.75" customHeight="1">
      <c r="A540" s="114"/>
      <c r="B540" s="27"/>
      <c r="C540" s="27"/>
      <c r="D540" s="27"/>
      <c r="E540" s="27"/>
      <c r="F540" s="114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 ht="15.75" customHeight="1">
      <c r="A541" s="114"/>
      <c r="B541" s="27"/>
      <c r="C541" s="27"/>
      <c r="D541" s="27"/>
      <c r="E541" s="27"/>
      <c r="F541" s="114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 ht="15.75" customHeight="1">
      <c r="A542" s="114"/>
      <c r="B542" s="27"/>
      <c r="C542" s="27"/>
      <c r="D542" s="27"/>
      <c r="E542" s="27"/>
      <c r="F542" s="114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 ht="15.75" customHeight="1">
      <c r="A543" s="114"/>
      <c r="B543" s="27"/>
      <c r="C543" s="27"/>
      <c r="D543" s="27"/>
      <c r="E543" s="27"/>
      <c r="F543" s="114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 ht="15.75" customHeight="1">
      <c r="A544" s="114"/>
      <c r="B544" s="27"/>
      <c r="C544" s="27"/>
      <c r="D544" s="27"/>
      <c r="E544" s="27"/>
      <c r="F544" s="114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 ht="15.75" customHeight="1">
      <c r="A545" s="114"/>
      <c r="B545" s="27"/>
      <c r="C545" s="27"/>
      <c r="D545" s="27"/>
      <c r="E545" s="27"/>
      <c r="F545" s="114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 ht="15.75" customHeight="1">
      <c r="A546" s="114"/>
      <c r="B546" s="27"/>
      <c r="C546" s="27"/>
      <c r="D546" s="27"/>
      <c r="E546" s="27"/>
      <c r="F546" s="114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 ht="15.75" customHeight="1">
      <c r="A547" s="114"/>
      <c r="B547" s="27"/>
      <c r="C547" s="27"/>
      <c r="D547" s="27"/>
      <c r="E547" s="27"/>
      <c r="F547" s="114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 ht="15.75" customHeight="1">
      <c r="A548" s="114"/>
      <c r="B548" s="27"/>
      <c r="C548" s="27"/>
      <c r="D548" s="27"/>
      <c r="E548" s="27"/>
      <c r="F548" s="114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 ht="15.75" customHeight="1">
      <c r="A549" s="114"/>
      <c r="B549" s="27"/>
      <c r="C549" s="27"/>
      <c r="D549" s="27"/>
      <c r="E549" s="27"/>
      <c r="F549" s="114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 ht="15.75" customHeight="1">
      <c r="A550" s="114"/>
      <c r="B550" s="27"/>
      <c r="C550" s="27"/>
      <c r="D550" s="27"/>
      <c r="E550" s="27"/>
      <c r="F550" s="114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 ht="15.75" customHeight="1">
      <c r="A551" s="114"/>
      <c r="B551" s="27"/>
      <c r="C551" s="27"/>
      <c r="D551" s="27"/>
      <c r="E551" s="27"/>
      <c r="F551" s="114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 ht="15.75" customHeight="1">
      <c r="A552" s="114"/>
      <c r="B552" s="27"/>
      <c r="C552" s="27"/>
      <c r="D552" s="27"/>
      <c r="E552" s="27"/>
      <c r="F552" s="114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 ht="15.75" customHeight="1">
      <c r="A553" s="114"/>
      <c r="B553" s="27"/>
      <c r="C553" s="27"/>
      <c r="D553" s="27"/>
      <c r="E553" s="27"/>
      <c r="F553" s="114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 ht="15.75" customHeight="1">
      <c r="A554" s="114"/>
      <c r="B554" s="27"/>
      <c r="C554" s="27"/>
      <c r="D554" s="27"/>
      <c r="E554" s="27"/>
      <c r="F554" s="114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 ht="15.75" customHeight="1">
      <c r="A555" s="114"/>
      <c r="B555" s="27"/>
      <c r="C555" s="27"/>
      <c r="D555" s="27"/>
      <c r="E555" s="27"/>
      <c r="F555" s="114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 ht="15.75" customHeight="1">
      <c r="A556" s="114"/>
      <c r="B556" s="27"/>
      <c r="C556" s="27"/>
      <c r="D556" s="27"/>
      <c r="E556" s="27"/>
      <c r="F556" s="114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 ht="15.75" customHeight="1">
      <c r="A557" s="114"/>
      <c r="B557" s="27"/>
      <c r="C557" s="27"/>
      <c r="D557" s="27"/>
      <c r="E557" s="27"/>
      <c r="F557" s="114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 ht="15.75" customHeight="1">
      <c r="A558" s="114"/>
      <c r="B558" s="27"/>
      <c r="C558" s="27"/>
      <c r="D558" s="27"/>
      <c r="E558" s="27"/>
      <c r="F558" s="114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 ht="15.75" customHeight="1">
      <c r="A559" s="114"/>
      <c r="B559" s="27"/>
      <c r="C559" s="27"/>
      <c r="D559" s="27"/>
      <c r="E559" s="27"/>
      <c r="F559" s="114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 ht="15.75" customHeight="1">
      <c r="A560" s="114"/>
      <c r="B560" s="27"/>
      <c r="C560" s="27"/>
      <c r="D560" s="27"/>
      <c r="E560" s="27"/>
      <c r="F560" s="114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 ht="15.75" customHeight="1">
      <c r="A561" s="114"/>
      <c r="B561" s="27"/>
      <c r="C561" s="27"/>
      <c r="D561" s="27"/>
      <c r="E561" s="27"/>
      <c r="F561" s="114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 ht="15.75" customHeight="1">
      <c r="A562" s="114"/>
      <c r="B562" s="27"/>
      <c r="C562" s="27"/>
      <c r="D562" s="27"/>
      <c r="E562" s="27"/>
      <c r="F562" s="114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 ht="15.75" customHeight="1">
      <c r="A563" s="114"/>
      <c r="B563" s="27"/>
      <c r="C563" s="27"/>
      <c r="D563" s="27"/>
      <c r="E563" s="27"/>
      <c r="F563" s="114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ht="15.75" customHeight="1">
      <c r="A564" s="114"/>
      <c r="B564" s="27"/>
      <c r="C564" s="27"/>
      <c r="D564" s="27"/>
      <c r="E564" s="27"/>
      <c r="F564" s="114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 ht="15.75" customHeight="1">
      <c r="A565" s="114"/>
      <c r="B565" s="27"/>
      <c r="C565" s="27"/>
      <c r="D565" s="27"/>
      <c r="E565" s="27"/>
      <c r="F565" s="114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 ht="15.75" customHeight="1">
      <c r="A566" s="114"/>
      <c r="B566" s="27"/>
      <c r="C566" s="27"/>
      <c r="D566" s="27"/>
      <c r="E566" s="27"/>
      <c r="F566" s="114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 ht="15.75" customHeight="1">
      <c r="A567" s="114"/>
      <c r="B567" s="27"/>
      <c r="C567" s="27"/>
      <c r="D567" s="27"/>
      <c r="E567" s="27"/>
      <c r="F567" s="114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 ht="15.75" customHeight="1">
      <c r="A568" s="114"/>
      <c r="B568" s="27"/>
      <c r="C568" s="27"/>
      <c r="D568" s="27"/>
      <c r="E568" s="27"/>
      <c r="F568" s="114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 ht="15.75" customHeight="1">
      <c r="A569" s="114"/>
      <c r="B569" s="27"/>
      <c r="C569" s="27"/>
      <c r="D569" s="27"/>
      <c r="E569" s="27"/>
      <c r="F569" s="114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 ht="15.75" customHeight="1">
      <c r="A570" s="114"/>
      <c r="B570" s="27"/>
      <c r="C570" s="27"/>
      <c r="D570" s="27"/>
      <c r="E570" s="27"/>
      <c r="F570" s="114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 ht="15.75" customHeight="1">
      <c r="A571" s="114"/>
      <c r="B571" s="27"/>
      <c r="C571" s="27"/>
      <c r="D571" s="27"/>
      <c r="E571" s="27"/>
      <c r="F571" s="114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 ht="15.75" customHeight="1">
      <c r="A572" s="114"/>
      <c r="B572" s="27"/>
      <c r="C572" s="27"/>
      <c r="D572" s="27"/>
      <c r="E572" s="27"/>
      <c r="F572" s="114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 ht="15.75" customHeight="1">
      <c r="A573" s="114"/>
      <c r="B573" s="27"/>
      <c r="C573" s="27"/>
      <c r="D573" s="27"/>
      <c r="E573" s="27"/>
      <c r="F573" s="114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 ht="15.75" customHeight="1">
      <c r="A574" s="114"/>
      <c r="B574" s="27"/>
      <c r="C574" s="27"/>
      <c r="D574" s="27"/>
      <c r="E574" s="27"/>
      <c r="F574" s="114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 ht="15.75" customHeight="1">
      <c r="A575" s="114"/>
      <c r="B575" s="27"/>
      <c r="C575" s="27"/>
      <c r="D575" s="27"/>
      <c r="E575" s="27"/>
      <c r="F575" s="114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 ht="15.75" customHeight="1">
      <c r="A576" s="114"/>
      <c r="B576" s="27"/>
      <c r="C576" s="27"/>
      <c r="D576" s="27"/>
      <c r="E576" s="27"/>
      <c r="F576" s="114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 ht="15.75" customHeight="1">
      <c r="A577" s="114"/>
      <c r="B577" s="27"/>
      <c r="C577" s="27"/>
      <c r="D577" s="27"/>
      <c r="E577" s="27"/>
      <c r="F577" s="114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 ht="15.75" customHeight="1">
      <c r="A578" s="114"/>
      <c r="B578" s="27"/>
      <c r="C578" s="27"/>
      <c r="D578" s="27"/>
      <c r="E578" s="27"/>
      <c r="F578" s="114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 ht="15.75" customHeight="1">
      <c r="A579" s="114"/>
      <c r="B579" s="27"/>
      <c r="C579" s="27"/>
      <c r="D579" s="27"/>
      <c r="E579" s="27"/>
      <c r="F579" s="114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 ht="15.75" customHeight="1">
      <c r="A580" s="114"/>
      <c r="B580" s="27"/>
      <c r="C580" s="27"/>
      <c r="D580" s="27"/>
      <c r="E580" s="27"/>
      <c r="F580" s="114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 ht="15.75" customHeight="1">
      <c r="A581" s="114"/>
      <c r="B581" s="27"/>
      <c r="C581" s="27"/>
      <c r="D581" s="27"/>
      <c r="E581" s="27"/>
      <c r="F581" s="114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 ht="15.75" customHeight="1">
      <c r="A582" s="114"/>
      <c r="B582" s="27"/>
      <c r="C582" s="27"/>
      <c r="D582" s="27"/>
      <c r="E582" s="27"/>
      <c r="F582" s="114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 ht="15.75" customHeight="1">
      <c r="A583" s="114"/>
      <c r="B583" s="27"/>
      <c r="C583" s="27"/>
      <c r="D583" s="27"/>
      <c r="E583" s="27"/>
      <c r="F583" s="114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 ht="15.75" customHeight="1">
      <c r="A584" s="114"/>
      <c r="B584" s="27"/>
      <c r="C584" s="27"/>
      <c r="D584" s="27"/>
      <c r="E584" s="27"/>
      <c r="F584" s="114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 ht="15.75" customHeight="1">
      <c r="A585" s="114"/>
      <c r="B585" s="27"/>
      <c r="C585" s="27"/>
      <c r="D585" s="27"/>
      <c r="E585" s="27"/>
      <c r="F585" s="114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ht="15.75" customHeight="1">
      <c r="A586" s="114"/>
      <c r="B586" s="27"/>
      <c r="C586" s="27"/>
      <c r="D586" s="27"/>
      <c r="E586" s="27"/>
      <c r="F586" s="114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 ht="15.75" customHeight="1">
      <c r="A587" s="114"/>
      <c r="B587" s="27"/>
      <c r="C587" s="27"/>
      <c r="D587" s="27"/>
      <c r="E587" s="27"/>
      <c r="F587" s="114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 ht="15.75" customHeight="1">
      <c r="A588" s="114"/>
      <c r="B588" s="27"/>
      <c r="C588" s="27"/>
      <c r="D588" s="27"/>
      <c r="E588" s="27"/>
      <c r="F588" s="114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 ht="15.75" customHeight="1">
      <c r="A589" s="114"/>
      <c r="B589" s="27"/>
      <c r="C589" s="27"/>
      <c r="D589" s="27"/>
      <c r="E589" s="27"/>
      <c r="F589" s="114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 ht="15.75" customHeight="1">
      <c r="A590" s="114"/>
      <c r="B590" s="27"/>
      <c r="C590" s="27"/>
      <c r="D590" s="27"/>
      <c r="E590" s="27"/>
      <c r="F590" s="114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 ht="15.75" customHeight="1">
      <c r="A591" s="114"/>
      <c r="B591" s="27"/>
      <c r="C591" s="27"/>
      <c r="D591" s="27"/>
      <c r="E591" s="27"/>
      <c r="F591" s="114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 ht="15.75" customHeight="1">
      <c r="A592" s="114"/>
      <c r="B592" s="27"/>
      <c r="C592" s="27"/>
      <c r="D592" s="27"/>
      <c r="E592" s="27"/>
      <c r="F592" s="114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 ht="15.75" customHeight="1">
      <c r="A593" s="114"/>
      <c r="B593" s="27"/>
      <c r="C593" s="27"/>
      <c r="D593" s="27"/>
      <c r="E593" s="27"/>
      <c r="F593" s="114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 ht="15.75" customHeight="1">
      <c r="A594" s="114"/>
      <c r="B594" s="27"/>
      <c r="C594" s="27"/>
      <c r="D594" s="27"/>
      <c r="E594" s="27"/>
      <c r="F594" s="114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 ht="15.75" customHeight="1">
      <c r="A595" s="114"/>
      <c r="B595" s="27"/>
      <c r="C595" s="27"/>
      <c r="D595" s="27"/>
      <c r="E595" s="27"/>
      <c r="F595" s="114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 ht="15.75" customHeight="1">
      <c r="A596" s="114"/>
      <c r="B596" s="27"/>
      <c r="C596" s="27"/>
      <c r="D596" s="27"/>
      <c r="E596" s="27"/>
      <c r="F596" s="114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 ht="15.75" customHeight="1">
      <c r="A597" s="114"/>
      <c r="B597" s="27"/>
      <c r="C597" s="27"/>
      <c r="D597" s="27"/>
      <c r="E597" s="27"/>
      <c r="F597" s="114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 ht="15.75" customHeight="1">
      <c r="A598" s="114"/>
      <c r="B598" s="27"/>
      <c r="C598" s="27"/>
      <c r="D598" s="27"/>
      <c r="E598" s="27"/>
      <c r="F598" s="114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 ht="15.75" customHeight="1">
      <c r="A599" s="114"/>
      <c r="B599" s="27"/>
      <c r="C599" s="27"/>
      <c r="D599" s="27"/>
      <c r="E599" s="27"/>
      <c r="F599" s="114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 ht="15.75" customHeight="1">
      <c r="A600" s="114"/>
      <c r="B600" s="27"/>
      <c r="C600" s="27"/>
      <c r="D600" s="27"/>
      <c r="E600" s="27"/>
      <c r="F600" s="114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 ht="15.75" customHeight="1">
      <c r="A601" s="114"/>
      <c r="B601" s="27"/>
      <c r="C601" s="27"/>
      <c r="D601" s="27"/>
      <c r="E601" s="27"/>
      <c r="F601" s="114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 ht="15.75" customHeight="1">
      <c r="A602" s="114"/>
      <c r="B602" s="27"/>
      <c r="C602" s="27"/>
      <c r="D602" s="27"/>
      <c r="E602" s="27"/>
      <c r="F602" s="114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 ht="15.75" customHeight="1">
      <c r="A603" s="114"/>
      <c r="B603" s="27"/>
      <c r="C603" s="27"/>
      <c r="D603" s="27"/>
      <c r="E603" s="27"/>
      <c r="F603" s="114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 ht="15.75" customHeight="1">
      <c r="A604" s="114"/>
      <c r="B604" s="27"/>
      <c r="C604" s="27"/>
      <c r="D604" s="27"/>
      <c r="E604" s="27"/>
      <c r="F604" s="114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 ht="15.75" customHeight="1">
      <c r="A605" s="114"/>
      <c r="B605" s="27"/>
      <c r="C605" s="27"/>
      <c r="D605" s="27"/>
      <c r="E605" s="27"/>
      <c r="F605" s="114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 ht="15.75" customHeight="1">
      <c r="A606" s="114"/>
      <c r="B606" s="27"/>
      <c r="C606" s="27"/>
      <c r="D606" s="27"/>
      <c r="E606" s="27"/>
      <c r="F606" s="114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 ht="15.75" customHeight="1">
      <c r="A607" s="114"/>
      <c r="B607" s="27"/>
      <c r="C607" s="27"/>
      <c r="D607" s="27"/>
      <c r="E607" s="27"/>
      <c r="F607" s="114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 ht="15.75" customHeight="1">
      <c r="A608" s="114"/>
      <c r="B608" s="27"/>
      <c r="C608" s="27"/>
      <c r="D608" s="27"/>
      <c r="E608" s="27"/>
      <c r="F608" s="114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 ht="15.75" customHeight="1">
      <c r="A609" s="114"/>
      <c r="B609" s="27"/>
      <c r="C609" s="27"/>
      <c r="D609" s="27"/>
      <c r="E609" s="27"/>
      <c r="F609" s="114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 ht="15.75" customHeight="1">
      <c r="A610" s="114"/>
      <c r="B610" s="27"/>
      <c r="C610" s="27"/>
      <c r="D610" s="27"/>
      <c r="E610" s="27"/>
      <c r="F610" s="114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 ht="15.75" customHeight="1">
      <c r="A611" s="114"/>
      <c r="B611" s="27"/>
      <c r="C611" s="27"/>
      <c r="D611" s="27"/>
      <c r="E611" s="27"/>
      <c r="F611" s="114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 ht="15.75" customHeight="1">
      <c r="A612" s="114"/>
      <c r="B612" s="27"/>
      <c r="C612" s="27"/>
      <c r="D612" s="27"/>
      <c r="E612" s="27"/>
      <c r="F612" s="114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 ht="15.75" customHeight="1">
      <c r="A613" s="114"/>
      <c r="B613" s="27"/>
      <c r="C613" s="27"/>
      <c r="D613" s="27"/>
      <c r="E613" s="27"/>
      <c r="F613" s="114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 ht="15.75" customHeight="1">
      <c r="A614" s="114"/>
      <c r="B614" s="27"/>
      <c r="C614" s="27"/>
      <c r="D614" s="27"/>
      <c r="E614" s="27"/>
      <c r="F614" s="114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 ht="15.75" customHeight="1">
      <c r="A615" s="114"/>
      <c r="B615" s="27"/>
      <c r="C615" s="27"/>
      <c r="D615" s="27"/>
      <c r="E615" s="27"/>
      <c r="F615" s="114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 ht="15.75" customHeight="1">
      <c r="A616" s="114"/>
      <c r="B616" s="27"/>
      <c r="C616" s="27"/>
      <c r="D616" s="27"/>
      <c r="E616" s="27"/>
      <c r="F616" s="114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 ht="15.75" customHeight="1">
      <c r="A617" s="114"/>
      <c r="B617" s="27"/>
      <c r="C617" s="27"/>
      <c r="D617" s="27"/>
      <c r="E617" s="27"/>
      <c r="F617" s="114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 ht="15.75" customHeight="1">
      <c r="A618" s="114"/>
      <c r="B618" s="27"/>
      <c r="C618" s="27"/>
      <c r="D618" s="27"/>
      <c r="E618" s="27"/>
      <c r="F618" s="114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 ht="15.75" customHeight="1">
      <c r="A619" s="114"/>
      <c r="B619" s="27"/>
      <c r="C619" s="27"/>
      <c r="D619" s="27"/>
      <c r="E619" s="27"/>
      <c r="F619" s="114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 ht="15.75" customHeight="1">
      <c r="A620" s="114"/>
      <c r="B620" s="27"/>
      <c r="C620" s="27"/>
      <c r="D620" s="27"/>
      <c r="E620" s="27"/>
      <c r="F620" s="114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ht="15.75" customHeight="1">
      <c r="A621" s="114"/>
      <c r="B621" s="27"/>
      <c r="C621" s="27"/>
      <c r="D621" s="27"/>
      <c r="E621" s="27"/>
      <c r="F621" s="114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ht="15.75" customHeight="1">
      <c r="A622" s="114"/>
      <c r="B622" s="27"/>
      <c r="C622" s="27"/>
      <c r="D622" s="27"/>
      <c r="E622" s="27"/>
      <c r="F622" s="114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ht="15.75" customHeight="1">
      <c r="A623" s="114"/>
      <c r="B623" s="27"/>
      <c r="C623" s="27"/>
      <c r="D623" s="27"/>
      <c r="E623" s="27"/>
      <c r="F623" s="114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 ht="15.75" customHeight="1">
      <c r="A624" s="114"/>
      <c r="B624" s="27"/>
      <c r="C624" s="27"/>
      <c r="D624" s="27"/>
      <c r="E624" s="27"/>
      <c r="F624" s="114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 ht="15.75" customHeight="1">
      <c r="A625" s="114"/>
      <c r="B625" s="27"/>
      <c r="C625" s="27"/>
      <c r="D625" s="27"/>
      <c r="E625" s="27"/>
      <c r="F625" s="114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 ht="15.75" customHeight="1">
      <c r="A626" s="114"/>
      <c r="B626" s="27"/>
      <c r="C626" s="27"/>
      <c r="D626" s="27"/>
      <c r="E626" s="27"/>
      <c r="F626" s="114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 ht="15.75" customHeight="1">
      <c r="A627" s="114"/>
      <c r="B627" s="27"/>
      <c r="C627" s="27"/>
      <c r="D627" s="27"/>
      <c r="E627" s="27"/>
      <c r="F627" s="114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 ht="15.75" customHeight="1">
      <c r="A628" s="114"/>
      <c r="B628" s="27"/>
      <c r="C628" s="27"/>
      <c r="D628" s="27"/>
      <c r="E628" s="27"/>
      <c r="F628" s="114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 ht="15.75" customHeight="1">
      <c r="A629" s="114"/>
      <c r="B629" s="27"/>
      <c r="C629" s="27"/>
      <c r="D629" s="27"/>
      <c r="E629" s="27"/>
      <c r="F629" s="114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 ht="15.75" customHeight="1">
      <c r="A630" s="114"/>
      <c r="B630" s="27"/>
      <c r="C630" s="27"/>
      <c r="D630" s="27"/>
      <c r="E630" s="27"/>
      <c r="F630" s="114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 ht="15.75" customHeight="1">
      <c r="A631" s="114"/>
      <c r="B631" s="27"/>
      <c r="C631" s="27"/>
      <c r="D631" s="27"/>
      <c r="E631" s="27"/>
      <c r="F631" s="114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 ht="15.75" customHeight="1">
      <c r="A632" s="114"/>
      <c r="B632" s="27"/>
      <c r="C632" s="27"/>
      <c r="D632" s="27"/>
      <c r="E632" s="27"/>
      <c r="F632" s="114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 ht="15.75" customHeight="1">
      <c r="A633" s="114"/>
      <c r="B633" s="27"/>
      <c r="C633" s="27"/>
      <c r="D633" s="27"/>
      <c r="E633" s="27"/>
      <c r="F633" s="114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 ht="15.75" customHeight="1">
      <c r="A634" s="114"/>
      <c r="B634" s="27"/>
      <c r="C634" s="27"/>
      <c r="D634" s="27"/>
      <c r="E634" s="27"/>
      <c r="F634" s="114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 ht="15.75" customHeight="1">
      <c r="A635" s="114"/>
      <c r="B635" s="27"/>
      <c r="C635" s="27"/>
      <c r="D635" s="27"/>
      <c r="E635" s="27"/>
      <c r="F635" s="114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 ht="15.75" customHeight="1">
      <c r="A636" s="114"/>
      <c r="B636" s="27"/>
      <c r="C636" s="27"/>
      <c r="D636" s="27"/>
      <c r="E636" s="27"/>
      <c r="F636" s="114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 ht="15.75" customHeight="1">
      <c r="A637" s="114"/>
      <c r="B637" s="27"/>
      <c r="C637" s="27"/>
      <c r="D637" s="27"/>
      <c r="E637" s="27"/>
      <c r="F637" s="114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 ht="15.75" customHeight="1">
      <c r="A638" s="114"/>
      <c r="B638" s="27"/>
      <c r="C638" s="27"/>
      <c r="D638" s="27"/>
      <c r="E638" s="27"/>
      <c r="F638" s="114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 ht="15.75" customHeight="1">
      <c r="A639" s="114"/>
      <c r="B639" s="27"/>
      <c r="C639" s="27"/>
      <c r="D639" s="27"/>
      <c r="E639" s="27"/>
      <c r="F639" s="114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 ht="15.75" customHeight="1">
      <c r="A640" s="114"/>
      <c r="B640" s="27"/>
      <c r="C640" s="27"/>
      <c r="D640" s="27"/>
      <c r="E640" s="27"/>
      <c r="F640" s="114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 ht="15.75" customHeight="1">
      <c r="A641" s="114"/>
      <c r="B641" s="27"/>
      <c r="C641" s="27"/>
      <c r="D641" s="27"/>
      <c r="E641" s="27"/>
      <c r="F641" s="114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 ht="15.75" customHeight="1">
      <c r="A642" s="114"/>
      <c r="B642" s="27"/>
      <c r="C642" s="27"/>
      <c r="D642" s="27"/>
      <c r="E642" s="27"/>
      <c r="F642" s="114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 ht="15.75" customHeight="1">
      <c r="A643" s="114"/>
      <c r="B643" s="27"/>
      <c r="C643" s="27"/>
      <c r="D643" s="27"/>
      <c r="E643" s="27"/>
      <c r="F643" s="114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 ht="15.75" customHeight="1">
      <c r="A644" s="114"/>
      <c r="B644" s="27"/>
      <c r="C644" s="27"/>
      <c r="D644" s="27"/>
      <c r="E644" s="27"/>
      <c r="F644" s="114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 ht="15.75" customHeight="1">
      <c r="A645" s="114"/>
      <c r="B645" s="27"/>
      <c r="C645" s="27"/>
      <c r="D645" s="27"/>
      <c r="E645" s="27"/>
      <c r="F645" s="114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 ht="15.75" customHeight="1">
      <c r="A646" s="114"/>
      <c r="B646" s="27"/>
      <c r="C646" s="27"/>
      <c r="D646" s="27"/>
      <c r="E646" s="27"/>
      <c r="F646" s="114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 ht="15.75" customHeight="1">
      <c r="A647" s="114"/>
      <c r="B647" s="27"/>
      <c r="C647" s="27"/>
      <c r="D647" s="27"/>
      <c r="E647" s="27"/>
      <c r="F647" s="114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 ht="15.75" customHeight="1">
      <c r="A648" s="114"/>
      <c r="B648" s="27"/>
      <c r="C648" s="27"/>
      <c r="D648" s="27"/>
      <c r="E648" s="27"/>
      <c r="F648" s="114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 ht="15.75" customHeight="1">
      <c r="A649" s="114"/>
      <c r="B649" s="27"/>
      <c r="C649" s="27"/>
      <c r="D649" s="27"/>
      <c r="E649" s="27"/>
      <c r="F649" s="114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 ht="15.75" customHeight="1">
      <c r="A650" s="114"/>
      <c r="B650" s="27"/>
      <c r="C650" s="27"/>
      <c r="D650" s="27"/>
      <c r="E650" s="27"/>
      <c r="F650" s="114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 ht="15.75" customHeight="1">
      <c r="A651" s="114"/>
      <c r="B651" s="27"/>
      <c r="C651" s="27"/>
      <c r="D651" s="27"/>
      <c r="E651" s="27"/>
      <c r="F651" s="114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 ht="15.75" customHeight="1">
      <c r="A652" s="114"/>
      <c r="B652" s="27"/>
      <c r="C652" s="27"/>
      <c r="D652" s="27"/>
      <c r="E652" s="27"/>
      <c r="F652" s="114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 ht="15.75" customHeight="1">
      <c r="A653" s="114"/>
      <c r="B653" s="27"/>
      <c r="C653" s="27"/>
      <c r="D653" s="27"/>
      <c r="E653" s="27"/>
      <c r="F653" s="114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 ht="15.75" customHeight="1">
      <c r="A654" s="114"/>
      <c r="B654" s="27"/>
      <c r="C654" s="27"/>
      <c r="D654" s="27"/>
      <c r="E654" s="27"/>
      <c r="F654" s="114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 ht="15.75" customHeight="1">
      <c r="A655" s="114"/>
      <c r="B655" s="27"/>
      <c r="C655" s="27"/>
      <c r="D655" s="27"/>
      <c r="E655" s="27"/>
      <c r="F655" s="114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 ht="15.75" customHeight="1">
      <c r="A656" s="114"/>
      <c r="B656" s="27"/>
      <c r="C656" s="27"/>
      <c r="D656" s="27"/>
      <c r="E656" s="27"/>
      <c r="F656" s="114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 ht="15.75" customHeight="1">
      <c r="A657" s="114"/>
      <c r="B657" s="27"/>
      <c r="C657" s="27"/>
      <c r="D657" s="27"/>
      <c r="E657" s="27"/>
      <c r="F657" s="114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 ht="15.75" customHeight="1">
      <c r="A658" s="114"/>
      <c r="B658" s="27"/>
      <c r="C658" s="27"/>
      <c r="D658" s="27"/>
      <c r="E658" s="27"/>
      <c r="F658" s="114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 ht="15.75" customHeight="1">
      <c r="A659" s="114"/>
      <c r="B659" s="27"/>
      <c r="C659" s="27"/>
      <c r="D659" s="27"/>
      <c r="E659" s="27"/>
      <c r="F659" s="114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 ht="15.75" customHeight="1">
      <c r="A660" s="114"/>
      <c r="B660" s="27"/>
      <c r="C660" s="27"/>
      <c r="D660" s="27"/>
      <c r="E660" s="27"/>
      <c r="F660" s="114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 ht="15.75" customHeight="1">
      <c r="A661" s="114"/>
      <c r="B661" s="27"/>
      <c r="C661" s="27"/>
      <c r="D661" s="27"/>
      <c r="E661" s="27"/>
      <c r="F661" s="114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 ht="15.75" customHeight="1">
      <c r="A662" s="114"/>
      <c r="B662" s="27"/>
      <c r="C662" s="27"/>
      <c r="D662" s="27"/>
      <c r="E662" s="27"/>
      <c r="F662" s="114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 ht="15.75" customHeight="1">
      <c r="A663" s="114"/>
      <c r="B663" s="27"/>
      <c r="C663" s="27"/>
      <c r="D663" s="27"/>
      <c r="E663" s="27"/>
      <c r="F663" s="114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 ht="15.75" customHeight="1">
      <c r="A664" s="114"/>
      <c r="B664" s="27"/>
      <c r="C664" s="27"/>
      <c r="D664" s="27"/>
      <c r="E664" s="27"/>
      <c r="F664" s="114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 ht="15.75" customHeight="1">
      <c r="A665" s="114"/>
      <c r="B665" s="27"/>
      <c r="C665" s="27"/>
      <c r="D665" s="27"/>
      <c r="E665" s="27"/>
      <c r="F665" s="114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 ht="15.75" customHeight="1">
      <c r="A666" s="114"/>
      <c r="B666" s="27"/>
      <c r="C666" s="27"/>
      <c r="D666" s="27"/>
      <c r="E666" s="27"/>
      <c r="F666" s="114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 ht="15.75" customHeight="1">
      <c r="A667" s="114"/>
      <c r="B667" s="27"/>
      <c r="C667" s="27"/>
      <c r="D667" s="27"/>
      <c r="E667" s="27"/>
      <c r="F667" s="114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 ht="15.75" customHeight="1">
      <c r="A668" s="114"/>
      <c r="B668" s="27"/>
      <c r="C668" s="27"/>
      <c r="D668" s="27"/>
      <c r="E668" s="27"/>
      <c r="F668" s="114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ht="15.75" customHeight="1">
      <c r="A669" s="114"/>
      <c r="B669" s="27"/>
      <c r="C669" s="27"/>
      <c r="D669" s="27"/>
      <c r="E669" s="27"/>
      <c r="F669" s="114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 ht="15.75" customHeight="1">
      <c r="A670" s="114"/>
      <c r="B670" s="27"/>
      <c r="C670" s="27"/>
      <c r="D670" s="27"/>
      <c r="E670" s="27"/>
      <c r="F670" s="114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 ht="15.75" customHeight="1">
      <c r="A671" s="114"/>
      <c r="B671" s="27"/>
      <c r="C671" s="27"/>
      <c r="D671" s="27"/>
      <c r="E671" s="27"/>
      <c r="F671" s="114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 ht="15.75" customHeight="1">
      <c r="A672" s="114"/>
      <c r="B672" s="27"/>
      <c r="C672" s="27"/>
      <c r="D672" s="27"/>
      <c r="E672" s="27"/>
      <c r="F672" s="114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 ht="15.75" customHeight="1">
      <c r="A673" s="114"/>
      <c r="B673" s="27"/>
      <c r="C673" s="27"/>
      <c r="D673" s="27"/>
      <c r="E673" s="27"/>
      <c r="F673" s="114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 ht="15.75" customHeight="1">
      <c r="A674" s="114"/>
      <c r="B674" s="27"/>
      <c r="C674" s="27"/>
      <c r="D674" s="27"/>
      <c r="E674" s="27"/>
      <c r="F674" s="114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 ht="15.75" customHeight="1">
      <c r="A675" s="114"/>
      <c r="B675" s="27"/>
      <c r="C675" s="27"/>
      <c r="D675" s="27"/>
      <c r="E675" s="27"/>
      <c r="F675" s="114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 ht="15.75" customHeight="1">
      <c r="A676" s="114"/>
      <c r="B676" s="27"/>
      <c r="C676" s="27"/>
      <c r="D676" s="27"/>
      <c r="E676" s="27"/>
      <c r="F676" s="114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 ht="15.75" customHeight="1">
      <c r="A677" s="114"/>
      <c r="B677" s="27"/>
      <c r="C677" s="27"/>
      <c r="D677" s="27"/>
      <c r="E677" s="27"/>
      <c r="F677" s="114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 ht="15.75" customHeight="1">
      <c r="A678" s="114"/>
      <c r="B678" s="27"/>
      <c r="C678" s="27"/>
      <c r="D678" s="27"/>
      <c r="E678" s="27"/>
      <c r="F678" s="114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 ht="15.75" customHeight="1">
      <c r="A679" s="114"/>
      <c r="B679" s="27"/>
      <c r="C679" s="27"/>
      <c r="D679" s="27"/>
      <c r="E679" s="27"/>
      <c r="F679" s="114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 ht="15.75" customHeight="1">
      <c r="A680" s="114"/>
      <c r="B680" s="27"/>
      <c r="C680" s="27"/>
      <c r="D680" s="27"/>
      <c r="E680" s="27"/>
      <c r="F680" s="114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 ht="15.75" customHeight="1">
      <c r="A681" s="114"/>
      <c r="B681" s="27"/>
      <c r="C681" s="27"/>
      <c r="D681" s="27"/>
      <c r="E681" s="27"/>
      <c r="F681" s="114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 ht="15.75" customHeight="1">
      <c r="A682" s="114"/>
      <c r="B682" s="27"/>
      <c r="C682" s="27"/>
      <c r="D682" s="27"/>
      <c r="E682" s="27"/>
      <c r="F682" s="114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 ht="15.75" customHeight="1">
      <c r="A683" s="114"/>
      <c r="B683" s="27"/>
      <c r="C683" s="27"/>
      <c r="D683" s="27"/>
      <c r="E683" s="27"/>
      <c r="F683" s="114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 ht="15.75" customHeight="1">
      <c r="A684" s="114"/>
      <c r="B684" s="27"/>
      <c r="C684" s="27"/>
      <c r="D684" s="27"/>
      <c r="E684" s="27"/>
      <c r="F684" s="114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 ht="15.75" customHeight="1">
      <c r="A685" s="114"/>
      <c r="B685" s="27"/>
      <c r="C685" s="27"/>
      <c r="D685" s="27"/>
      <c r="E685" s="27"/>
      <c r="F685" s="114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 ht="15.75" customHeight="1">
      <c r="A686" s="114"/>
      <c r="B686" s="27"/>
      <c r="C686" s="27"/>
      <c r="D686" s="27"/>
      <c r="E686" s="27"/>
      <c r="F686" s="114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 ht="15.75" customHeight="1">
      <c r="A687" s="114"/>
      <c r="B687" s="27"/>
      <c r="C687" s="27"/>
      <c r="D687" s="27"/>
      <c r="E687" s="27"/>
      <c r="F687" s="114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 ht="15.75" customHeight="1">
      <c r="A688" s="114"/>
      <c r="B688" s="27"/>
      <c r="C688" s="27"/>
      <c r="D688" s="27"/>
      <c r="E688" s="27"/>
      <c r="F688" s="114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 ht="15.75" customHeight="1">
      <c r="A689" s="114"/>
      <c r="B689" s="27"/>
      <c r="C689" s="27"/>
      <c r="D689" s="27"/>
      <c r="E689" s="27"/>
      <c r="F689" s="114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 ht="15.75" customHeight="1">
      <c r="A690" s="114"/>
      <c r="B690" s="27"/>
      <c r="C690" s="27"/>
      <c r="D690" s="27"/>
      <c r="E690" s="27"/>
      <c r="F690" s="114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 ht="15.75" customHeight="1">
      <c r="A691" s="114"/>
      <c r="B691" s="27"/>
      <c r="C691" s="27"/>
      <c r="D691" s="27"/>
      <c r="E691" s="27"/>
      <c r="F691" s="114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 ht="15.75" customHeight="1">
      <c r="A692" s="114"/>
      <c r="B692" s="27"/>
      <c r="C692" s="27"/>
      <c r="D692" s="27"/>
      <c r="E692" s="27"/>
      <c r="F692" s="114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 ht="15.75" customHeight="1">
      <c r="A693" s="114"/>
      <c r="B693" s="27"/>
      <c r="C693" s="27"/>
      <c r="D693" s="27"/>
      <c r="E693" s="27"/>
      <c r="F693" s="114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 ht="15.75" customHeight="1">
      <c r="A694" s="114"/>
      <c r="B694" s="27"/>
      <c r="C694" s="27"/>
      <c r="D694" s="27"/>
      <c r="E694" s="27"/>
      <c r="F694" s="114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 ht="15.75" customHeight="1">
      <c r="A695" s="114"/>
      <c r="B695" s="27"/>
      <c r="C695" s="27"/>
      <c r="D695" s="27"/>
      <c r="E695" s="27"/>
      <c r="F695" s="114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 ht="15.75" customHeight="1">
      <c r="A696" s="114"/>
      <c r="B696" s="27"/>
      <c r="C696" s="27"/>
      <c r="D696" s="27"/>
      <c r="E696" s="27"/>
      <c r="F696" s="114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 ht="15.75" customHeight="1">
      <c r="A697" s="114"/>
      <c r="B697" s="27"/>
      <c r="C697" s="27"/>
      <c r="D697" s="27"/>
      <c r="E697" s="27"/>
      <c r="F697" s="114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 ht="15.75" customHeight="1">
      <c r="A698" s="114"/>
      <c r="B698" s="27"/>
      <c r="C698" s="27"/>
      <c r="D698" s="27"/>
      <c r="E698" s="27"/>
      <c r="F698" s="114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 ht="15.75" customHeight="1">
      <c r="A699" s="114"/>
      <c r="B699" s="27"/>
      <c r="C699" s="27"/>
      <c r="D699" s="27"/>
      <c r="E699" s="27"/>
      <c r="F699" s="114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 ht="15.75" customHeight="1">
      <c r="A700" s="114"/>
      <c r="B700" s="27"/>
      <c r="C700" s="27"/>
      <c r="D700" s="27"/>
      <c r="E700" s="27"/>
      <c r="F700" s="114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 ht="15.75" customHeight="1">
      <c r="A701" s="114"/>
      <c r="B701" s="27"/>
      <c r="C701" s="27"/>
      <c r="D701" s="27"/>
      <c r="E701" s="27"/>
      <c r="F701" s="114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 ht="15.75" customHeight="1">
      <c r="A702" s="114"/>
      <c r="B702" s="27"/>
      <c r="C702" s="27"/>
      <c r="D702" s="27"/>
      <c r="E702" s="27"/>
      <c r="F702" s="114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 ht="15.75" customHeight="1">
      <c r="A703" s="114"/>
      <c r="B703" s="27"/>
      <c r="C703" s="27"/>
      <c r="D703" s="27"/>
      <c r="E703" s="27"/>
      <c r="F703" s="114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 ht="15.75" customHeight="1">
      <c r="A704" s="114"/>
      <c r="B704" s="27"/>
      <c r="C704" s="27"/>
      <c r="D704" s="27"/>
      <c r="E704" s="27"/>
      <c r="F704" s="114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 ht="15.75" customHeight="1">
      <c r="A705" s="114"/>
      <c r="B705" s="27"/>
      <c r="C705" s="27"/>
      <c r="D705" s="27"/>
      <c r="E705" s="27"/>
      <c r="F705" s="114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 ht="15.75" customHeight="1">
      <c r="A706" s="114"/>
      <c r="B706" s="27"/>
      <c r="C706" s="27"/>
      <c r="D706" s="27"/>
      <c r="E706" s="27"/>
      <c r="F706" s="114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 ht="15.75" customHeight="1">
      <c r="A707" s="114"/>
      <c r="B707" s="27"/>
      <c r="C707" s="27"/>
      <c r="D707" s="27"/>
      <c r="E707" s="27"/>
      <c r="F707" s="114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 ht="15.75" customHeight="1">
      <c r="A708" s="114"/>
      <c r="B708" s="27"/>
      <c r="C708" s="27"/>
      <c r="D708" s="27"/>
      <c r="E708" s="27"/>
      <c r="F708" s="114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 ht="15.75" customHeight="1">
      <c r="A709" s="114"/>
      <c r="B709" s="27"/>
      <c r="C709" s="27"/>
      <c r="D709" s="27"/>
      <c r="E709" s="27"/>
      <c r="F709" s="114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 ht="15.75" customHeight="1">
      <c r="A710" s="114"/>
      <c r="B710" s="27"/>
      <c r="C710" s="27"/>
      <c r="D710" s="27"/>
      <c r="E710" s="27"/>
      <c r="F710" s="114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 ht="15.75" customHeight="1">
      <c r="A711" s="114"/>
      <c r="B711" s="27"/>
      <c r="C711" s="27"/>
      <c r="D711" s="27"/>
      <c r="E711" s="27"/>
      <c r="F711" s="114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 ht="15.75" customHeight="1">
      <c r="A712" s="114"/>
      <c r="B712" s="27"/>
      <c r="C712" s="27"/>
      <c r="D712" s="27"/>
      <c r="E712" s="27"/>
      <c r="F712" s="114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 ht="15.75" customHeight="1">
      <c r="A713" s="114"/>
      <c r="B713" s="27"/>
      <c r="C713" s="27"/>
      <c r="D713" s="27"/>
      <c r="E713" s="27"/>
      <c r="F713" s="114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 ht="15.75" customHeight="1">
      <c r="A714" s="114"/>
      <c r="B714" s="27"/>
      <c r="C714" s="27"/>
      <c r="D714" s="27"/>
      <c r="E714" s="27"/>
      <c r="F714" s="114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 ht="15.75" customHeight="1">
      <c r="A715" s="114"/>
      <c r="B715" s="27"/>
      <c r="C715" s="27"/>
      <c r="D715" s="27"/>
      <c r="E715" s="27"/>
      <c r="F715" s="114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 ht="15.75" customHeight="1">
      <c r="A716" s="114"/>
      <c r="B716" s="27"/>
      <c r="C716" s="27"/>
      <c r="D716" s="27"/>
      <c r="E716" s="27"/>
      <c r="F716" s="114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 ht="15.75" customHeight="1">
      <c r="A717" s="114"/>
      <c r="B717" s="27"/>
      <c r="C717" s="27"/>
      <c r="D717" s="27"/>
      <c r="E717" s="27"/>
      <c r="F717" s="114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 ht="15.75" customHeight="1">
      <c r="A718" s="114"/>
      <c r="B718" s="27"/>
      <c r="C718" s="27"/>
      <c r="D718" s="27"/>
      <c r="E718" s="27"/>
      <c r="F718" s="114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 ht="15.75" customHeight="1">
      <c r="A719" s="114"/>
      <c r="B719" s="27"/>
      <c r="C719" s="27"/>
      <c r="D719" s="27"/>
      <c r="E719" s="27"/>
      <c r="F719" s="114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 ht="15.75" customHeight="1">
      <c r="A720" s="114"/>
      <c r="B720" s="27"/>
      <c r="C720" s="27"/>
      <c r="D720" s="27"/>
      <c r="E720" s="27"/>
      <c r="F720" s="114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 ht="15.75" customHeight="1">
      <c r="A721" s="114"/>
      <c r="B721" s="27"/>
      <c r="C721" s="27"/>
      <c r="D721" s="27"/>
      <c r="E721" s="27"/>
      <c r="F721" s="114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 ht="15.75" customHeight="1">
      <c r="A722" s="114"/>
      <c r="B722" s="27"/>
      <c r="C722" s="27"/>
      <c r="D722" s="27"/>
      <c r="E722" s="27"/>
      <c r="F722" s="114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 ht="15.75" customHeight="1">
      <c r="A723" s="114"/>
      <c r="B723" s="27"/>
      <c r="C723" s="27"/>
      <c r="D723" s="27"/>
      <c r="E723" s="27"/>
      <c r="F723" s="114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 ht="15.75" customHeight="1">
      <c r="A724" s="114"/>
      <c r="B724" s="27"/>
      <c r="C724" s="27"/>
      <c r="D724" s="27"/>
      <c r="E724" s="27"/>
      <c r="F724" s="114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 ht="15.75" customHeight="1">
      <c r="A725" s="114"/>
      <c r="B725" s="27"/>
      <c r="C725" s="27"/>
      <c r="D725" s="27"/>
      <c r="E725" s="27"/>
      <c r="F725" s="114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 ht="15.75" customHeight="1">
      <c r="A726" s="114"/>
      <c r="B726" s="27"/>
      <c r="C726" s="27"/>
      <c r="D726" s="27"/>
      <c r="E726" s="27"/>
      <c r="F726" s="114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 ht="15.75" customHeight="1">
      <c r="A727" s="114"/>
      <c r="B727" s="27"/>
      <c r="C727" s="27"/>
      <c r="D727" s="27"/>
      <c r="E727" s="27"/>
      <c r="F727" s="114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 ht="15.75" customHeight="1">
      <c r="A728" s="114"/>
      <c r="B728" s="27"/>
      <c r="C728" s="27"/>
      <c r="D728" s="27"/>
      <c r="E728" s="27"/>
      <c r="F728" s="114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 ht="15.75" customHeight="1">
      <c r="A729" s="114"/>
      <c r="B729" s="27"/>
      <c r="C729" s="27"/>
      <c r="D729" s="27"/>
      <c r="E729" s="27"/>
      <c r="F729" s="114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 ht="15.75" customHeight="1">
      <c r="A730" s="114"/>
      <c r="B730" s="27"/>
      <c r="C730" s="27"/>
      <c r="D730" s="27"/>
      <c r="E730" s="27"/>
      <c r="F730" s="114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 ht="15.75" customHeight="1">
      <c r="A731" s="114"/>
      <c r="B731" s="27"/>
      <c r="C731" s="27"/>
      <c r="D731" s="27"/>
      <c r="E731" s="27"/>
      <c r="F731" s="114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 ht="15.75" customHeight="1">
      <c r="A732" s="114"/>
      <c r="B732" s="27"/>
      <c r="C732" s="27"/>
      <c r="D732" s="27"/>
      <c r="E732" s="27"/>
      <c r="F732" s="114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 ht="15.75" customHeight="1">
      <c r="A733" s="114"/>
      <c r="B733" s="27"/>
      <c r="C733" s="27"/>
      <c r="D733" s="27"/>
      <c r="E733" s="27"/>
      <c r="F733" s="114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 ht="15.75" customHeight="1">
      <c r="A734" s="114"/>
      <c r="B734" s="27"/>
      <c r="C734" s="27"/>
      <c r="D734" s="27"/>
      <c r="E734" s="27"/>
      <c r="F734" s="114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 ht="15.75" customHeight="1">
      <c r="A735" s="114"/>
      <c r="B735" s="27"/>
      <c r="C735" s="27"/>
      <c r="D735" s="27"/>
      <c r="E735" s="27"/>
      <c r="F735" s="114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 ht="15.75" customHeight="1">
      <c r="A736" s="114"/>
      <c r="B736" s="27"/>
      <c r="C736" s="27"/>
      <c r="D736" s="27"/>
      <c r="E736" s="27"/>
      <c r="F736" s="114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 ht="15.75" customHeight="1">
      <c r="A737" s="114"/>
      <c r="B737" s="27"/>
      <c r="C737" s="27"/>
      <c r="D737" s="27"/>
      <c r="E737" s="27"/>
      <c r="F737" s="114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 ht="15.75" customHeight="1">
      <c r="A738" s="114"/>
      <c r="B738" s="27"/>
      <c r="C738" s="27"/>
      <c r="D738" s="27"/>
      <c r="E738" s="27"/>
      <c r="F738" s="114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 ht="15.75" customHeight="1">
      <c r="A739" s="114"/>
      <c r="B739" s="27"/>
      <c r="C739" s="27"/>
      <c r="D739" s="27"/>
      <c r="E739" s="27"/>
      <c r="F739" s="114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ht="15.75" customHeight="1">
      <c r="A740" s="114"/>
      <c r="B740" s="27"/>
      <c r="C740" s="27"/>
      <c r="D740" s="27"/>
      <c r="E740" s="27"/>
      <c r="F740" s="114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 ht="15.75" customHeight="1">
      <c r="A741" s="114"/>
      <c r="B741" s="27"/>
      <c r="C741" s="27"/>
      <c r="D741" s="27"/>
      <c r="E741" s="27"/>
      <c r="F741" s="114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 ht="15.75" customHeight="1">
      <c r="A742" s="114"/>
      <c r="B742" s="27"/>
      <c r="C742" s="27"/>
      <c r="D742" s="27"/>
      <c r="E742" s="27"/>
      <c r="F742" s="114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 ht="15.75" customHeight="1">
      <c r="A743" s="114"/>
      <c r="B743" s="27"/>
      <c r="C743" s="27"/>
      <c r="D743" s="27"/>
      <c r="E743" s="27"/>
      <c r="F743" s="114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 ht="15.75" customHeight="1">
      <c r="A744" s="114"/>
      <c r="B744" s="27"/>
      <c r="C744" s="27"/>
      <c r="D744" s="27"/>
      <c r="E744" s="27"/>
      <c r="F744" s="114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 ht="15.75" customHeight="1">
      <c r="A745" s="114"/>
      <c r="B745" s="27"/>
      <c r="C745" s="27"/>
      <c r="D745" s="27"/>
      <c r="E745" s="27"/>
      <c r="F745" s="114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 ht="15.75" customHeight="1">
      <c r="A746" s="114"/>
      <c r="B746" s="27"/>
      <c r="C746" s="27"/>
      <c r="D746" s="27"/>
      <c r="E746" s="27"/>
      <c r="F746" s="114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 ht="15.75" customHeight="1">
      <c r="A747" s="114"/>
      <c r="B747" s="27"/>
      <c r="C747" s="27"/>
      <c r="D747" s="27"/>
      <c r="E747" s="27"/>
      <c r="F747" s="114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 ht="15.75" customHeight="1">
      <c r="A748" s="114"/>
      <c r="B748" s="27"/>
      <c r="C748" s="27"/>
      <c r="D748" s="27"/>
      <c r="E748" s="27"/>
      <c r="F748" s="114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 ht="15.75" customHeight="1">
      <c r="A749" s="114"/>
      <c r="B749" s="27"/>
      <c r="C749" s="27"/>
      <c r="D749" s="27"/>
      <c r="E749" s="27"/>
      <c r="F749" s="114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 ht="15.75" customHeight="1">
      <c r="A750" s="114"/>
      <c r="B750" s="27"/>
      <c r="C750" s="27"/>
      <c r="D750" s="27"/>
      <c r="E750" s="27"/>
      <c r="F750" s="114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 ht="15.75" customHeight="1">
      <c r="A751" s="114"/>
      <c r="B751" s="27"/>
      <c r="C751" s="27"/>
      <c r="D751" s="27"/>
      <c r="E751" s="27"/>
      <c r="F751" s="114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 ht="15.75" customHeight="1">
      <c r="A752" s="114"/>
      <c r="B752" s="27"/>
      <c r="C752" s="27"/>
      <c r="D752" s="27"/>
      <c r="E752" s="27"/>
      <c r="F752" s="114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 ht="15.75" customHeight="1">
      <c r="A753" s="114"/>
      <c r="B753" s="27"/>
      <c r="C753" s="27"/>
      <c r="D753" s="27"/>
      <c r="E753" s="27"/>
      <c r="F753" s="114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 ht="15.75" customHeight="1">
      <c r="A754" s="114"/>
      <c r="B754" s="27"/>
      <c r="C754" s="27"/>
      <c r="D754" s="27"/>
      <c r="E754" s="27"/>
      <c r="F754" s="114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 ht="15.75" customHeight="1">
      <c r="A755" s="114"/>
      <c r="B755" s="27"/>
      <c r="C755" s="27"/>
      <c r="D755" s="27"/>
      <c r="E755" s="27"/>
      <c r="F755" s="114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 ht="15.75" customHeight="1">
      <c r="A756" s="114"/>
      <c r="B756" s="27"/>
      <c r="C756" s="27"/>
      <c r="D756" s="27"/>
      <c r="E756" s="27"/>
      <c r="F756" s="114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 ht="15.75" customHeight="1">
      <c r="A757" s="114"/>
      <c r="B757" s="27"/>
      <c r="C757" s="27"/>
      <c r="D757" s="27"/>
      <c r="E757" s="27"/>
      <c r="F757" s="114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 ht="15.75" customHeight="1">
      <c r="A758" s="114"/>
      <c r="B758" s="27"/>
      <c r="C758" s="27"/>
      <c r="D758" s="27"/>
      <c r="E758" s="27"/>
      <c r="F758" s="114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 ht="15.75" customHeight="1">
      <c r="A759" s="114"/>
      <c r="B759" s="27"/>
      <c r="C759" s="27"/>
      <c r="D759" s="27"/>
      <c r="E759" s="27"/>
      <c r="F759" s="114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 ht="15.75" customHeight="1">
      <c r="A760" s="114"/>
      <c r="B760" s="27"/>
      <c r="C760" s="27"/>
      <c r="D760" s="27"/>
      <c r="E760" s="27"/>
      <c r="F760" s="114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 ht="15.75" customHeight="1">
      <c r="A761" s="114"/>
      <c r="B761" s="27"/>
      <c r="C761" s="27"/>
      <c r="D761" s="27"/>
      <c r="E761" s="27"/>
      <c r="F761" s="114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 ht="15.75" customHeight="1">
      <c r="A762" s="114"/>
      <c r="B762" s="27"/>
      <c r="C762" s="27"/>
      <c r="D762" s="27"/>
      <c r="E762" s="27"/>
      <c r="F762" s="114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 ht="15.75" customHeight="1">
      <c r="A763" s="114"/>
      <c r="B763" s="27"/>
      <c r="C763" s="27"/>
      <c r="D763" s="27"/>
      <c r="E763" s="27"/>
      <c r="F763" s="114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 ht="15.75" customHeight="1">
      <c r="A764" s="114"/>
      <c r="B764" s="27"/>
      <c r="C764" s="27"/>
      <c r="D764" s="27"/>
      <c r="E764" s="27"/>
      <c r="F764" s="114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 ht="15.75" customHeight="1">
      <c r="A765" s="114"/>
      <c r="B765" s="27"/>
      <c r="C765" s="27"/>
      <c r="D765" s="27"/>
      <c r="E765" s="27"/>
      <c r="F765" s="114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ht="15.75" customHeight="1">
      <c r="A766" s="114"/>
      <c r="B766" s="27"/>
      <c r="C766" s="27"/>
      <c r="D766" s="27"/>
      <c r="E766" s="27"/>
      <c r="F766" s="114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 ht="15.75" customHeight="1">
      <c r="A767" s="114"/>
      <c r="B767" s="27"/>
      <c r="C767" s="27"/>
      <c r="D767" s="27"/>
      <c r="E767" s="27"/>
      <c r="F767" s="114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ht="15.75" customHeight="1">
      <c r="A768" s="114"/>
      <c r="B768" s="27"/>
      <c r="C768" s="27"/>
      <c r="D768" s="27"/>
      <c r="E768" s="27"/>
      <c r="F768" s="114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 ht="15.75" customHeight="1">
      <c r="A769" s="114"/>
      <c r="B769" s="27"/>
      <c r="C769" s="27"/>
      <c r="D769" s="27"/>
      <c r="E769" s="27"/>
      <c r="F769" s="114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 ht="15.75" customHeight="1">
      <c r="A770" s="114"/>
      <c r="B770" s="27"/>
      <c r="C770" s="27"/>
      <c r="D770" s="27"/>
      <c r="E770" s="27"/>
      <c r="F770" s="114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 ht="15.75" customHeight="1">
      <c r="A771" s="114"/>
      <c r="B771" s="27"/>
      <c r="C771" s="27"/>
      <c r="D771" s="27"/>
      <c r="E771" s="27"/>
      <c r="F771" s="114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 ht="15.75" customHeight="1">
      <c r="A772" s="114"/>
      <c r="B772" s="27"/>
      <c r="C772" s="27"/>
      <c r="D772" s="27"/>
      <c r="E772" s="27"/>
      <c r="F772" s="114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 ht="15.75" customHeight="1">
      <c r="A773" s="114"/>
      <c r="B773" s="27"/>
      <c r="C773" s="27"/>
      <c r="D773" s="27"/>
      <c r="E773" s="27"/>
      <c r="F773" s="114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 ht="15.75" customHeight="1">
      <c r="A774" s="114"/>
      <c r="B774" s="27"/>
      <c r="C774" s="27"/>
      <c r="D774" s="27"/>
      <c r="E774" s="27"/>
      <c r="F774" s="114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 ht="15.75" customHeight="1">
      <c r="A775" s="114"/>
      <c r="B775" s="27"/>
      <c r="C775" s="27"/>
      <c r="D775" s="27"/>
      <c r="E775" s="27"/>
      <c r="F775" s="114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 ht="15.75" customHeight="1">
      <c r="A776" s="114"/>
      <c r="B776" s="27"/>
      <c r="C776" s="27"/>
      <c r="D776" s="27"/>
      <c r="E776" s="27"/>
      <c r="F776" s="114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 ht="15.75" customHeight="1">
      <c r="A777" s="114"/>
      <c r="B777" s="27"/>
      <c r="C777" s="27"/>
      <c r="D777" s="27"/>
      <c r="E777" s="27"/>
      <c r="F777" s="114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 ht="15.75" customHeight="1">
      <c r="A778" s="114"/>
      <c r="B778" s="27"/>
      <c r="C778" s="27"/>
      <c r="D778" s="27"/>
      <c r="E778" s="27"/>
      <c r="F778" s="114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 ht="15.75" customHeight="1">
      <c r="A779" s="114"/>
      <c r="B779" s="27"/>
      <c r="C779" s="27"/>
      <c r="D779" s="27"/>
      <c r="E779" s="27"/>
      <c r="F779" s="114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 ht="15.75" customHeight="1">
      <c r="A780" s="114"/>
      <c r="B780" s="27"/>
      <c r="C780" s="27"/>
      <c r="D780" s="27"/>
      <c r="E780" s="27"/>
      <c r="F780" s="114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 ht="15.75" customHeight="1">
      <c r="A781" s="114"/>
      <c r="B781" s="27"/>
      <c r="C781" s="27"/>
      <c r="D781" s="27"/>
      <c r="E781" s="27"/>
      <c r="F781" s="114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 ht="15.75" customHeight="1">
      <c r="A782" s="114"/>
      <c r="B782" s="27"/>
      <c r="C782" s="27"/>
      <c r="D782" s="27"/>
      <c r="E782" s="27"/>
      <c r="F782" s="114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 ht="15.75" customHeight="1">
      <c r="A783" s="114"/>
      <c r="B783" s="27"/>
      <c r="C783" s="27"/>
      <c r="D783" s="27"/>
      <c r="E783" s="27"/>
      <c r="F783" s="114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 ht="15.75" customHeight="1">
      <c r="A784" s="114"/>
      <c r="B784" s="27"/>
      <c r="C784" s="27"/>
      <c r="D784" s="27"/>
      <c r="E784" s="27"/>
      <c r="F784" s="114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 ht="15.75" customHeight="1">
      <c r="A785" s="114"/>
      <c r="B785" s="27"/>
      <c r="C785" s="27"/>
      <c r="D785" s="27"/>
      <c r="E785" s="27"/>
      <c r="F785" s="114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 ht="15.75" customHeight="1">
      <c r="A786" s="114"/>
      <c r="B786" s="27"/>
      <c r="C786" s="27"/>
      <c r="D786" s="27"/>
      <c r="E786" s="27"/>
      <c r="F786" s="114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 ht="15.75" customHeight="1">
      <c r="A787" s="114"/>
      <c r="B787" s="27"/>
      <c r="C787" s="27"/>
      <c r="D787" s="27"/>
      <c r="E787" s="27"/>
      <c r="F787" s="114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 ht="15.75" customHeight="1">
      <c r="A788" s="114"/>
      <c r="B788" s="27"/>
      <c r="C788" s="27"/>
      <c r="D788" s="27"/>
      <c r="E788" s="27"/>
      <c r="F788" s="114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 ht="15.75" customHeight="1">
      <c r="A789" s="114"/>
      <c r="B789" s="27"/>
      <c r="C789" s="27"/>
      <c r="D789" s="27"/>
      <c r="E789" s="27"/>
      <c r="F789" s="114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 ht="15.75" customHeight="1">
      <c r="A790" s="114"/>
      <c r="B790" s="27"/>
      <c r="C790" s="27"/>
      <c r="D790" s="27"/>
      <c r="E790" s="27"/>
      <c r="F790" s="114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 ht="15.75" customHeight="1">
      <c r="A791" s="114"/>
      <c r="B791" s="27"/>
      <c r="C791" s="27"/>
      <c r="D791" s="27"/>
      <c r="E791" s="27"/>
      <c r="F791" s="114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 ht="15.75" customHeight="1">
      <c r="A792" s="114"/>
      <c r="B792" s="27"/>
      <c r="C792" s="27"/>
      <c r="D792" s="27"/>
      <c r="E792" s="27"/>
      <c r="F792" s="114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ht="15.75" customHeight="1">
      <c r="A793" s="114"/>
      <c r="B793" s="27"/>
      <c r="C793" s="27"/>
      <c r="D793" s="27"/>
      <c r="E793" s="27"/>
      <c r="F793" s="114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 ht="15.75" customHeight="1">
      <c r="A794" s="114"/>
      <c r="B794" s="27"/>
      <c r="C794" s="27"/>
      <c r="D794" s="27"/>
      <c r="E794" s="27"/>
      <c r="F794" s="114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 ht="15.75" customHeight="1">
      <c r="A795" s="114"/>
      <c r="B795" s="27"/>
      <c r="C795" s="27"/>
      <c r="D795" s="27"/>
      <c r="E795" s="27"/>
      <c r="F795" s="114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 ht="15.75" customHeight="1">
      <c r="A796" s="114"/>
      <c r="B796" s="27"/>
      <c r="C796" s="27"/>
      <c r="D796" s="27"/>
      <c r="E796" s="27"/>
      <c r="F796" s="114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 ht="15.75" customHeight="1">
      <c r="A797" s="114"/>
      <c r="B797" s="27"/>
      <c r="C797" s="27"/>
      <c r="D797" s="27"/>
      <c r="E797" s="27"/>
      <c r="F797" s="114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 ht="15.75" customHeight="1">
      <c r="A798" s="114"/>
      <c r="B798" s="27"/>
      <c r="C798" s="27"/>
      <c r="D798" s="27"/>
      <c r="E798" s="27"/>
      <c r="F798" s="114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 ht="15.75" customHeight="1">
      <c r="A799" s="114"/>
      <c r="B799" s="27"/>
      <c r="C799" s="27"/>
      <c r="D799" s="27"/>
      <c r="E799" s="27"/>
      <c r="F799" s="114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 ht="15.75" customHeight="1">
      <c r="A800" s="114"/>
      <c r="B800" s="27"/>
      <c r="C800" s="27"/>
      <c r="D800" s="27"/>
      <c r="E800" s="27"/>
      <c r="F800" s="114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 ht="15.75" customHeight="1">
      <c r="A801" s="114"/>
      <c r="B801" s="27"/>
      <c r="C801" s="27"/>
      <c r="D801" s="27"/>
      <c r="E801" s="27"/>
      <c r="F801" s="114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 ht="15.75" customHeight="1">
      <c r="A802" s="114"/>
      <c r="B802" s="27"/>
      <c r="C802" s="27"/>
      <c r="D802" s="27"/>
      <c r="E802" s="27"/>
      <c r="F802" s="114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 ht="15.75" customHeight="1">
      <c r="A803" s="114"/>
      <c r="B803" s="27"/>
      <c r="C803" s="27"/>
      <c r="D803" s="27"/>
      <c r="E803" s="27"/>
      <c r="F803" s="114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 ht="15.75" customHeight="1">
      <c r="A804" s="114"/>
      <c r="B804" s="27"/>
      <c r="C804" s="27"/>
      <c r="D804" s="27"/>
      <c r="E804" s="27"/>
      <c r="F804" s="114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 ht="15.75" customHeight="1">
      <c r="A805" s="114"/>
      <c r="B805" s="27"/>
      <c r="C805" s="27"/>
      <c r="D805" s="27"/>
      <c r="E805" s="27"/>
      <c r="F805" s="114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 ht="15.75" customHeight="1">
      <c r="A806" s="114"/>
      <c r="B806" s="27"/>
      <c r="C806" s="27"/>
      <c r="D806" s="27"/>
      <c r="E806" s="27"/>
      <c r="F806" s="114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 ht="15.75" customHeight="1">
      <c r="A807" s="114"/>
      <c r="B807" s="27"/>
      <c r="C807" s="27"/>
      <c r="D807" s="27"/>
      <c r="E807" s="27"/>
      <c r="F807" s="114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 ht="15.75" customHeight="1">
      <c r="A808" s="114"/>
      <c r="B808" s="27"/>
      <c r="C808" s="27"/>
      <c r="D808" s="27"/>
      <c r="E808" s="27"/>
      <c r="F808" s="114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 ht="15.75" customHeight="1">
      <c r="A809" s="114"/>
      <c r="B809" s="27"/>
      <c r="C809" s="27"/>
      <c r="D809" s="27"/>
      <c r="E809" s="27"/>
      <c r="F809" s="114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 ht="15.75" customHeight="1">
      <c r="A810" s="114"/>
      <c r="B810" s="27"/>
      <c r="C810" s="27"/>
      <c r="D810" s="27"/>
      <c r="E810" s="27"/>
      <c r="F810" s="114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 ht="15.75" customHeight="1">
      <c r="A811" s="114"/>
      <c r="B811" s="27"/>
      <c r="C811" s="27"/>
      <c r="D811" s="27"/>
      <c r="E811" s="27"/>
      <c r="F811" s="114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 ht="15.75" customHeight="1">
      <c r="A812" s="114"/>
      <c r="B812" s="27"/>
      <c r="C812" s="27"/>
      <c r="D812" s="27"/>
      <c r="E812" s="27"/>
      <c r="F812" s="114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 ht="15.75" customHeight="1">
      <c r="A813" s="114"/>
      <c r="B813" s="27"/>
      <c r="C813" s="27"/>
      <c r="D813" s="27"/>
      <c r="E813" s="27"/>
      <c r="F813" s="114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 ht="15.75" customHeight="1">
      <c r="A814" s="114"/>
      <c r="B814" s="27"/>
      <c r="C814" s="27"/>
      <c r="D814" s="27"/>
      <c r="E814" s="27"/>
      <c r="F814" s="114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 ht="15.75" customHeight="1">
      <c r="A815" s="114"/>
      <c r="B815" s="27"/>
      <c r="C815" s="27"/>
      <c r="D815" s="27"/>
      <c r="E815" s="27"/>
      <c r="F815" s="114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 ht="15.75" customHeight="1">
      <c r="A816" s="114"/>
      <c r="B816" s="27"/>
      <c r="C816" s="27"/>
      <c r="D816" s="27"/>
      <c r="E816" s="27"/>
      <c r="F816" s="114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ht="15.75" customHeight="1">
      <c r="A817" s="114"/>
      <c r="B817" s="27"/>
      <c r="C817" s="27"/>
      <c r="D817" s="27"/>
      <c r="E817" s="27"/>
      <c r="F817" s="114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ht="15.75" customHeight="1">
      <c r="A818" s="114"/>
      <c r="B818" s="27"/>
      <c r="C818" s="27"/>
      <c r="D818" s="27"/>
      <c r="E818" s="27"/>
      <c r="F818" s="114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 ht="15.75" customHeight="1">
      <c r="A819" s="114"/>
      <c r="B819" s="27"/>
      <c r="C819" s="27"/>
      <c r="D819" s="27"/>
      <c r="E819" s="27"/>
      <c r="F819" s="114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 ht="15.75" customHeight="1">
      <c r="A820" s="114"/>
      <c r="B820" s="27"/>
      <c r="C820" s="27"/>
      <c r="D820" s="27"/>
      <c r="E820" s="27"/>
      <c r="F820" s="114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 ht="15.75" customHeight="1">
      <c r="A821" s="114"/>
      <c r="B821" s="27"/>
      <c r="C821" s="27"/>
      <c r="D821" s="27"/>
      <c r="E821" s="27"/>
      <c r="F821" s="114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 ht="15.75" customHeight="1">
      <c r="A822" s="114"/>
      <c r="B822" s="27"/>
      <c r="C822" s="27"/>
      <c r="D822" s="27"/>
      <c r="E822" s="27"/>
      <c r="F822" s="114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 ht="15.75" customHeight="1">
      <c r="A823" s="114"/>
      <c r="B823" s="27"/>
      <c r="C823" s="27"/>
      <c r="D823" s="27"/>
      <c r="E823" s="27"/>
      <c r="F823" s="114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 ht="15.75" customHeight="1">
      <c r="A824" s="114"/>
      <c r="B824" s="27"/>
      <c r="C824" s="27"/>
      <c r="D824" s="27"/>
      <c r="E824" s="27"/>
      <c r="F824" s="114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 ht="15.75" customHeight="1">
      <c r="A825" s="114"/>
      <c r="B825" s="27"/>
      <c r="C825" s="27"/>
      <c r="D825" s="27"/>
      <c r="E825" s="27"/>
      <c r="F825" s="114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 ht="15.75" customHeight="1">
      <c r="A826" s="114"/>
      <c r="B826" s="27"/>
      <c r="C826" s="27"/>
      <c r="D826" s="27"/>
      <c r="E826" s="27"/>
      <c r="F826" s="114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 ht="15.75" customHeight="1">
      <c r="A827" s="114"/>
      <c r="B827" s="27"/>
      <c r="C827" s="27"/>
      <c r="D827" s="27"/>
      <c r="E827" s="27"/>
      <c r="F827" s="114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 ht="15.75" customHeight="1">
      <c r="A828" s="114"/>
      <c r="B828" s="27"/>
      <c r="C828" s="27"/>
      <c r="D828" s="27"/>
      <c r="E828" s="27"/>
      <c r="F828" s="114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 ht="15.75" customHeight="1">
      <c r="A829" s="114"/>
      <c r="B829" s="27"/>
      <c r="C829" s="27"/>
      <c r="D829" s="27"/>
      <c r="E829" s="27"/>
      <c r="F829" s="114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 ht="15.75" customHeight="1">
      <c r="A830" s="114"/>
      <c r="B830" s="27"/>
      <c r="C830" s="27"/>
      <c r="D830" s="27"/>
      <c r="E830" s="27"/>
      <c r="F830" s="114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 ht="15.75" customHeight="1">
      <c r="A831" s="114"/>
      <c r="B831" s="27"/>
      <c r="C831" s="27"/>
      <c r="D831" s="27"/>
      <c r="E831" s="27"/>
      <c r="F831" s="114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 ht="15.75" customHeight="1">
      <c r="A832" s="114"/>
      <c r="B832" s="27"/>
      <c r="C832" s="27"/>
      <c r="D832" s="27"/>
      <c r="E832" s="27"/>
      <c r="F832" s="114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 ht="15.75" customHeight="1">
      <c r="A833" s="114"/>
      <c r="B833" s="27"/>
      <c r="C833" s="27"/>
      <c r="D833" s="27"/>
      <c r="E833" s="27"/>
      <c r="F833" s="114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 ht="15.75" customHeight="1">
      <c r="A834" s="114"/>
      <c r="B834" s="27"/>
      <c r="C834" s="27"/>
      <c r="D834" s="27"/>
      <c r="E834" s="27"/>
      <c r="F834" s="114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 ht="15.75" customHeight="1">
      <c r="A835" s="114"/>
      <c r="B835" s="27"/>
      <c r="C835" s="27"/>
      <c r="D835" s="27"/>
      <c r="E835" s="27"/>
      <c r="F835" s="114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 ht="15.75" customHeight="1">
      <c r="A836" s="114"/>
      <c r="B836" s="27"/>
      <c r="C836" s="27"/>
      <c r="D836" s="27"/>
      <c r="E836" s="27"/>
      <c r="F836" s="114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 ht="15.75" customHeight="1">
      <c r="A837" s="114"/>
      <c r="B837" s="27"/>
      <c r="C837" s="27"/>
      <c r="D837" s="27"/>
      <c r="E837" s="27"/>
      <c r="F837" s="114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 ht="15.75" customHeight="1">
      <c r="A838" s="114"/>
      <c r="B838" s="27"/>
      <c r="C838" s="27"/>
      <c r="D838" s="27"/>
      <c r="E838" s="27"/>
      <c r="F838" s="114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 ht="15.75" customHeight="1">
      <c r="A839" s="114"/>
      <c r="B839" s="27"/>
      <c r="C839" s="27"/>
      <c r="D839" s="27"/>
      <c r="E839" s="27"/>
      <c r="F839" s="114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 ht="15.75" customHeight="1">
      <c r="A840" s="114"/>
      <c r="B840" s="27"/>
      <c r="C840" s="27"/>
      <c r="D840" s="27"/>
      <c r="E840" s="27"/>
      <c r="F840" s="114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 ht="15.75" customHeight="1">
      <c r="A841" s="114"/>
      <c r="B841" s="27"/>
      <c r="C841" s="27"/>
      <c r="D841" s="27"/>
      <c r="E841" s="27"/>
      <c r="F841" s="114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 ht="15.75" customHeight="1">
      <c r="A842" s="114"/>
      <c r="B842" s="27"/>
      <c r="C842" s="27"/>
      <c r="D842" s="27"/>
      <c r="E842" s="27"/>
      <c r="F842" s="114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 ht="15.75" customHeight="1">
      <c r="A843" s="114"/>
      <c r="B843" s="27"/>
      <c r="C843" s="27"/>
      <c r="D843" s="27"/>
      <c r="E843" s="27"/>
      <c r="F843" s="114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ht="15.75" customHeight="1">
      <c r="A844" s="114"/>
      <c r="B844" s="27"/>
      <c r="C844" s="27"/>
      <c r="D844" s="27"/>
      <c r="E844" s="27"/>
      <c r="F844" s="114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 ht="15.75" customHeight="1">
      <c r="A845" s="114"/>
      <c r="B845" s="27"/>
      <c r="C845" s="27"/>
      <c r="D845" s="27"/>
      <c r="E845" s="27"/>
      <c r="F845" s="114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 ht="15.75" customHeight="1">
      <c r="A846" s="114"/>
      <c r="B846" s="27"/>
      <c r="C846" s="27"/>
      <c r="D846" s="27"/>
      <c r="E846" s="27"/>
      <c r="F846" s="114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 ht="15.75" customHeight="1">
      <c r="A847" s="114"/>
      <c r="B847" s="27"/>
      <c r="C847" s="27"/>
      <c r="D847" s="27"/>
      <c r="E847" s="27"/>
      <c r="F847" s="114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 ht="15.75" customHeight="1">
      <c r="A848" s="114"/>
      <c r="B848" s="27"/>
      <c r="C848" s="27"/>
      <c r="D848" s="27"/>
      <c r="E848" s="27"/>
      <c r="F848" s="114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 ht="15.75" customHeight="1">
      <c r="A849" s="114"/>
      <c r="B849" s="27"/>
      <c r="C849" s="27"/>
      <c r="D849" s="27"/>
      <c r="E849" s="27"/>
      <c r="F849" s="114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 ht="15.75" customHeight="1">
      <c r="A850" s="114"/>
      <c r="B850" s="27"/>
      <c r="C850" s="27"/>
      <c r="D850" s="27"/>
      <c r="E850" s="27"/>
      <c r="F850" s="114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 ht="15.75" customHeight="1">
      <c r="A851" s="114"/>
      <c r="B851" s="27"/>
      <c r="C851" s="27"/>
      <c r="D851" s="27"/>
      <c r="E851" s="27"/>
      <c r="F851" s="114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 ht="15.75" customHeight="1">
      <c r="A852" s="114"/>
      <c r="B852" s="27"/>
      <c r="C852" s="27"/>
      <c r="D852" s="27"/>
      <c r="E852" s="27"/>
      <c r="F852" s="114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 ht="15.75" customHeight="1">
      <c r="A853" s="114"/>
      <c r="B853" s="27"/>
      <c r="C853" s="27"/>
      <c r="D853" s="27"/>
      <c r="E853" s="27"/>
      <c r="F853" s="114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 ht="15.75" customHeight="1">
      <c r="A854" s="114"/>
      <c r="B854" s="27"/>
      <c r="C854" s="27"/>
      <c r="D854" s="27"/>
      <c r="E854" s="27"/>
      <c r="F854" s="114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 ht="15.75" customHeight="1">
      <c r="A855" s="114"/>
      <c r="B855" s="27"/>
      <c r="C855" s="27"/>
      <c r="D855" s="27"/>
      <c r="E855" s="27"/>
      <c r="F855" s="114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 ht="15.75" customHeight="1">
      <c r="A856" s="114"/>
      <c r="B856" s="27"/>
      <c r="C856" s="27"/>
      <c r="D856" s="27"/>
      <c r="E856" s="27"/>
      <c r="F856" s="114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 ht="15.75" customHeight="1">
      <c r="A857" s="114"/>
      <c r="B857" s="27"/>
      <c r="C857" s="27"/>
      <c r="D857" s="27"/>
      <c r="E857" s="27"/>
      <c r="F857" s="114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 ht="15.75" customHeight="1">
      <c r="A858" s="114"/>
      <c r="B858" s="27"/>
      <c r="C858" s="27"/>
      <c r="D858" s="27"/>
      <c r="E858" s="27"/>
      <c r="F858" s="114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 ht="15.75" customHeight="1">
      <c r="A859" s="114"/>
      <c r="B859" s="27"/>
      <c r="C859" s="27"/>
      <c r="D859" s="27"/>
      <c r="E859" s="27"/>
      <c r="F859" s="114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 ht="15.75" customHeight="1">
      <c r="A860" s="114"/>
      <c r="B860" s="27"/>
      <c r="C860" s="27"/>
      <c r="D860" s="27"/>
      <c r="E860" s="27"/>
      <c r="F860" s="114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 ht="15.75" customHeight="1">
      <c r="A861" s="114"/>
      <c r="B861" s="27"/>
      <c r="C861" s="27"/>
      <c r="D861" s="27"/>
      <c r="E861" s="27"/>
      <c r="F861" s="114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 ht="15.75" customHeight="1">
      <c r="A862" s="114"/>
      <c r="B862" s="27"/>
      <c r="C862" s="27"/>
      <c r="D862" s="27"/>
      <c r="E862" s="27"/>
      <c r="F862" s="114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 ht="15.75" customHeight="1">
      <c r="A863" s="114"/>
      <c r="B863" s="27"/>
      <c r="C863" s="27"/>
      <c r="D863" s="27"/>
      <c r="E863" s="27"/>
      <c r="F863" s="114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 ht="15.75" customHeight="1">
      <c r="A864" s="114"/>
      <c r="B864" s="27"/>
      <c r="C864" s="27"/>
      <c r="D864" s="27"/>
      <c r="E864" s="27"/>
      <c r="F864" s="114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 ht="15.75" customHeight="1">
      <c r="A865" s="114"/>
      <c r="B865" s="27"/>
      <c r="C865" s="27"/>
      <c r="D865" s="27"/>
      <c r="E865" s="27"/>
      <c r="F865" s="114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 ht="15.75" customHeight="1">
      <c r="A866" s="114"/>
      <c r="B866" s="27"/>
      <c r="C866" s="27"/>
      <c r="D866" s="27"/>
      <c r="E866" s="27"/>
      <c r="F866" s="114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 ht="15.75" customHeight="1">
      <c r="A867" s="114"/>
      <c r="B867" s="27"/>
      <c r="C867" s="27"/>
      <c r="D867" s="27"/>
      <c r="E867" s="27"/>
      <c r="F867" s="114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 ht="15.75" customHeight="1">
      <c r="A868" s="114"/>
      <c r="B868" s="27"/>
      <c r="C868" s="27"/>
      <c r="D868" s="27"/>
      <c r="E868" s="27"/>
      <c r="F868" s="114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 ht="15.75" customHeight="1">
      <c r="A869" s="114"/>
      <c r="B869" s="27"/>
      <c r="C869" s="27"/>
      <c r="D869" s="27"/>
      <c r="E869" s="27"/>
      <c r="F869" s="114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 ht="15.75" customHeight="1">
      <c r="A870" s="114"/>
      <c r="B870" s="27"/>
      <c r="C870" s="27"/>
      <c r="D870" s="27"/>
      <c r="E870" s="27"/>
      <c r="F870" s="114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 ht="15.75" customHeight="1">
      <c r="A871" s="114"/>
      <c r="B871" s="27"/>
      <c r="C871" s="27"/>
      <c r="D871" s="27"/>
      <c r="E871" s="27"/>
      <c r="F871" s="114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 ht="15.75" customHeight="1">
      <c r="A872" s="114"/>
      <c r="B872" s="27"/>
      <c r="C872" s="27"/>
      <c r="D872" s="27"/>
      <c r="E872" s="27"/>
      <c r="F872" s="114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 ht="15.75" customHeight="1">
      <c r="A873" s="114"/>
      <c r="B873" s="27"/>
      <c r="C873" s="27"/>
      <c r="D873" s="27"/>
      <c r="E873" s="27"/>
      <c r="F873" s="114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 ht="15.75" customHeight="1">
      <c r="A874" s="114"/>
      <c r="B874" s="27"/>
      <c r="C874" s="27"/>
      <c r="D874" s="27"/>
      <c r="E874" s="27"/>
      <c r="F874" s="114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 ht="15.75" customHeight="1">
      <c r="A875" s="114"/>
      <c r="B875" s="27"/>
      <c r="C875" s="27"/>
      <c r="D875" s="27"/>
      <c r="E875" s="27"/>
      <c r="F875" s="114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 ht="15.75" customHeight="1">
      <c r="A876" s="114"/>
      <c r="B876" s="27"/>
      <c r="C876" s="27"/>
      <c r="D876" s="27"/>
      <c r="E876" s="27"/>
      <c r="F876" s="114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 ht="15.75" customHeight="1">
      <c r="A877" s="114"/>
      <c r="B877" s="27"/>
      <c r="C877" s="27"/>
      <c r="D877" s="27"/>
      <c r="E877" s="27"/>
      <c r="F877" s="114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 ht="15.75" customHeight="1">
      <c r="A878" s="114"/>
      <c r="B878" s="27"/>
      <c r="C878" s="27"/>
      <c r="D878" s="27"/>
      <c r="E878" s="27"/>
      <c r="F878" s="114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 ht="15.75" customHeight="1">
      <c r="A879" s="114"/>
      <c r="B879" s="27"/>
      <c r="C879" s="27"/>
      <c r="D879" s="27"/>
      <c r="E879" s="27"/>
      <c r="F879" s="114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 ht="15.75" customHeight="1">
      <c r="A880" s="114"/>
      <c r="B880" s="27"/>
      <c r="C880" s="27"/>
      <c r="D880" s="27"/>
      <c r="E880" s="27"/>
      <c r="F880" s="114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 ht="15.75" customHeight="1">
      <c r="A881" s="114"/>
      <c r="B881" s="27"/>
      <c r="C881" s="27"/>
      <c r="D881" s="27"/>
      <c r="E881" s="27"/>
      <c r="F881" s="114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 ht="15.75" customHeight="1">
      <c r="A882" s="114"/>
      <c r="B882" s="27"/>
      <c r="C882" s="27"/>
      <c r="D882" s="27"/>
      <c r="E882" s="27"/>
      <c r="F882" s="114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 ht="15.75" customHeight="1">
      <c r="A883" s="114"/>
      <c r="B883" s="27"/>
      <c r="C883" s="27"/>
      <c r="D883" s="27"/>
      <c r="E883" s="27"/>
      <c r="F883" s="114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 ht="15.75" customHeight="1">
      <c r="A884" s="114"/>
      <c r="B884" s="27"/>
      <c r="C884" s="27"/>
      <c r="D884" s="27"/>
      <c r="E884" s="27"/>
      <c r="F884" s="114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 ht="15.75" customHeight="1">
      <c r="A885" s="114"/>
      <c r="B885" s="27"/>
      <c r="C885" s="27"/>
      <c r="D885" s="27"/>
      <c r="E885" s="27"/>
      <c r="F885" s="114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 ht="15.75" customHeight="1">
      <c r="A886" s="114"/>
      <c r="B886" s="27"/>
      <c r="C886" s="27"/>
      <c r="D886" s="27"/>
      <c r="E886" s="27"/>
      <c r="F886" s="114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 ht="15.75" customHeight="1">
      <c r="A887" s="114"/>
      <c r="B887" s="27"/>
      <c r="C887" s="27"/>
      <c r="D887" s="27"/>
      <c r="E887" s="27"/>
      <c r="F887" s="114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 ht="15.75" customHeight="1">
      <c r="A888" s="114"/>
      <c r="B888" s="27"/>
      <c r="C888" s="27"/>
      <c r="D888" s="27"/>
      <c r="E888" s="27"/>
      <c r="F888" s="114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ht="15.75" customHeight="1">
      <c r="A889" s="114"/>
      <c r="B889" s="27"/>
      <c r="C889" s="27"/>
      <c r="D889" s="27"/>
      <c r="E889" s="27"/>
      <c r="F889" s="114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 ht="15.75" customHeight="1">
      <c r="A890" s="114"/>
      <c r="B890" s="27"/>
      <c r="C890" s="27"/>
      <c r="D890" s="27"/>
      <c r="E890" s="27"/>
      <c r="F890" s="114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 ht="15.75" customHeight="1">
      <c r="A891" s="114"/>
      <c r="B891" s="27"/>
      <c r="C891" s="27"/>
      <c r="D891" s="27"/>
      <c r="E891" s="27"/>
      <c r="F891" s="114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 ht="15.75" customHeight="1">
      <c r="A892" s="114"/>
      <c r="B892" s="27"/>
      <c r="C892" s="27"/>
      <c r="D892" s="27"/>
      <c r="E892" s="27"/>
      <c r="F892" s="114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 ht="15.75" customHeight="1">
      <c r="A893" s="114"/>
      <c r="B893" s="27"/>
      <c r="C893" s="27"/>
      <c r="D893" s="27"/>
      <c r="E893" s="27"/>
      <c r="F893" s="114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 ht="15.75" customHeight="1">
      <c r="A894" s="114"/>
      <c r="B894" s="27"/>
      <c r="C894" s="27"/>
      <c r="D894" s="27"/>
      <c r="E894" s="27"/>
      <c r="F894" s="114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 ht="15.75" customHeight="1">
      <c r="A895" s="114"/>
      <c r="B895" s="27"/>
      <c r="C895" s="27"/>
      <c r="D895" s="27"/>
      <c r="E895" s="27"/>
      <c r="F895" s="114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 ht="15.75" customHeight="1">
      <c r="A896" s="114"/>
      <c r="B896" s="27"/>
      <c r="C896" s="27"/>
      <c r="D896" s="27"/>
      <c r="E896" s="27"/>
      <c r="F896" s="114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 ht="15.75" customHeight="1">
      <c r="A897" s="114"/>
      <c r="B897" s="27"/>
      <c r="C897" s="27"/>
      <c r="D897" s="27"/>
      <c r="E897" s="27"/>
      <c r="F897" s="114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 ht="15.75" customHeight="1">
      <c r="A898" s="114"/>
      <c r="B898" s="27"/>
      <c r="C898" s="27"/>
      <c r="D898" s="27"/>
      <c r="E898" s="27"/>
      <c r="F898" s="114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 ht="15.75" customHeight="1">
      <c r="A899" s="114"/>
      <c r="B899" s="27"/>
      <c r="C899" s="27"/>
      <c r="D899" s="27"/>
      <c r="E899" s="27"/>
      <c r="F899" s="114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 ht="15.75" customHeight="1">
      <c r="A900" s="114"/>
      <c r="B900" s="27"/>
      <c r="C900" s="27"/>
      <c r="D900" s="27"/>
      <c r="E900" s="27"/>
      <c r="F900" s="114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 ht="15.75" customHeight="1">
      <c r="A901" s="114"/>
      <c r="B901" s="27"/>
      <c r="C901" s="27"/>
      <c r="D901" s="27"/>
      <c r="E901" s="27"/>
      <c r="F901" s="114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 ht="15.75" customHeight="1">
      <c r="A902" s="114"/>
      <c r="B902" s="27"/>
      <c r="C902" s="27"/>
      <c r="D902" s="27"/>
      <c r="E902" s="27"/>
      <c r="F902" s="114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 ht="15.75" customHeight="1">
      <c r="A903" s="114"/>
      <c r="B903" s="27"/>
      <c r="C903" s="27"/>
      <c r="D903" s="27"/>
      <c r="E903" s="27"/>
      <c r="F903" s="114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 ht="15.75" customHeight="1">
      <c r="A904" s="114"/>
      <c r="B904" s="27"/>
      <c r="C904" s="27"/>
      <c r="D904" s="27"/>
      <c r="E904" s="27"/>
      <c r="F904" s="114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 ht="15.75" customHeight="1">
      <c r="A905" s="114"/>
      <c r="B905" s="27"/>
      <c r="C905" s="27"/>
      <c r="D905" s="27"/>
      <c r="E905" s="27"/>
      <c r="F905" s="114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 ht="15.75" customHeight="1">
      <c r="A906" s="114"/>
      <c r="B906" s="27"/>
      <c r="C906" s="27"/>
      <c r="D906" s="27"/>
      <c r="E906" s="27"/>
      <c r="F906" s="114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 ht="15.75" customHeight="1">
      <c r="A907" s="114"/>
      <c r="B907" s="27"/>
      <c r="C907" s="27"/>
      <c r="D907" s="27"/>
      <c r="E907" s="27"/>
      <c r="F907" s="114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 ht="15.75" customHeight="1">
      <c r="A908" s="114"/>
      <c r="B908" s="27"/>
      <c r="C908" s="27"/>
      <c r="D908" s="27"/>
      <c r="E908" s="27"/>
      <c r="F908" s="114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 ht="15.75" customHeight="1">
      <c r="A909" s="114"/>
      <c r="B909" s="27"/>
      <c r="C909" s="27"/>
      <c r="D909" s="27"/>
      <c r="E909" s="27"/>
      <c r="F909" s="114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 ht="15.75" customHeight="1">
      <c r="A910" s="114"/>
      <c r="B910" s="27"/>
      <c r="C910" s="27"/>
      <c r="D910" s="27"/>
      <c r="E910" s="27"/>
      <c r="F910" s="114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 ht="15.75" customHeight="1">
      <c r="A911" s="114"/>
      <c r="B911" s="27"/>
      <c r="C911" s="27"/>
      <c r="D911" s="27"/>
      <c r="E911" s="27"/>
      <c r="F911" s="114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 ht="15.75" customHeight="1">
      <c r="A912" s="114"/>
      <c r="B912" s="27"/>
      <c r="C912" s="27"/>
      <c r="D912" s="27"/>
      <c r="E912" s="27"/>
      <c r="F912" s="114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 ht="15.75" customHeight="1">
      <c r="A913" s="114"/>
      <c r="B913" s="27"/>
      <c r="C913" s="27"/>
      <c r="D913" s="27"/>
      <c r="E913" s="27"/>
      <c r="F913" s="114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 ht="15.75" customHeight="1">
      <c r="A914" s="114"/>
      <c r="B914" s="27"/>
      <c r="C914" s="27"/>
      <c r="D914" s="27"/>
      <c r="E914" s="27"/>
      <c r="F914" s="114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 ht="15.75" customHeight="1">
      <c r="A915" s="114"/>
      <c r="B915" s="27"/>
      <c r="C915" s="27"/>
      <c r="D915" s="27"/>
      <c r="E915" s="27"/>
      <c r="F915" s="114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 ht="15.75" customHeight="1">
      <c r="A916" s="114"/>
      <c r="B916" s="27"/>
      <c r="C916" s="27"/>
      <c r="D916" s="27"/>
      <c r="E916" s="27"/>
      <c r="F916" s="114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ht="15.75" customHeight="1">
      <c r="A917" s="114"/>
      <c r="B917" s="27"/>
      <c r="C917" s="27"/>
      <c r="D917" s="27"/>
      <c r="E917" s="27"/>
      <c r="F917" s="114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 ht="15.75" customHeight="1">
      <c r="A918" s="114"/>
      <c r="B918" s="27"/>
      <c r="C918" s="27"/>
      <c r="D918" s="27"/>
      <c r="E918" s="27"/>
      <c r="F918" s="114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 ht="15.75" customHeight="1">
      <c r="A919" s="114"/>
      <c r="B919" s="27"/>
      <c r="C919" s="27"/>
      <c r="D919" s="27"/>
      <c r="E919" s="27"/>
      <c r="F919" s="114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 ht="15.75" customHeight="1">
      <c r="A920" s="114"/>
      <c r="B920" s="27"/>
      <c r="C920" s="27"/>
      <c r="D920" s="27"/>
      <c r="E920" s="27"/>
      <c r="F920" s="114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 ht="15.75" customHeight="1">
      <c r="A921" s="114"/>
      <c r="B921" s="27"/>
      <c r="C921" s="27"/>
      <c r="D921" s="27"/>
      <c r="E921" s="27"/>
      <c r="F921" s="114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 ht="15.75" customHeight="1">
      <c r="A922" s="114"/>
      <c r="B922" s="27"/>
      <c r="C922" s="27"/>
      <c r="D922" s="27"/>
      <c r="E922" s="27"/>
      <c r="F922" s="114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 ht="15.75" customHeight="1">
      <c r="A923" s="114"/>
      <c r="B923" s="27"/>
      <c r="C923" s="27"/>
      <c r="D923" s="27"/>
      <c r="E923" s="27"/>
      <c r="F923" s="114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 ht="15.75" customHeight="1">
      <c r="A924" s="114"/>
      <c r="B924" s="27"/>
      <c r="C924" s="27"/>
      <c r="D924" s="27"/>
      <c r="E924" s="27"/>
      <c r="F924" s="114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 ht="15.75" customHeight="1">
      <c r="A925" s="114"/>
      <c r="B925" s="27"/>
      <c r="C925" s="27"/>
      <c r="D925" s="27"/>
      <c r="E925" s="27"/>
      <c r="F925" s="114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 ht="15.75" customHeight="1">
      <c r="A926" s="114"/>
      <c r="B926" s="27"/>
      <c r="C926" s="27"/>
      <c r="D926" s="27"/>
      <c r="E926" s="27"/>
      <c r="F926" s="114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 ht="15.75" customHeight="1">
      <c r="A927" s="114"/>
      <c r="B927" s="27"/>
      <c r="C927" s="27"/>
      <c r="D927" s="27"/>
      <c r="E927" s="27"/>
      <c r="F927" s="114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 ht="15.75" customHeight="1">
      <c r="A928" s="114"/>
      <c r="B928" s="27"/>
      <c r="C928" s="27"/>
      <c r="D928" s="27"/>
      <c r="E928" s="27"/>
      <c r="F928" s="114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 ht="15.75" customHeight="1">
      <c r="A929" s="114"/>
      <c r="B929" s="27"/>
      <c r="C929" s="27"/>
      <c r="D929" s="27"/>
      <c r="E929" s="27"/>
      <c r="F929" s="114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 ht="15.75" customHeight="1">
      <c r="A930" s="114"/>
      <c r="B930" s="27"/>
      <c r="C930" s="27"/>
      <c r="D930" s="27"/>
      <c r="E930" s="27"/>
      <c r="F930" s="114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 ht="15.75" customHeight="1">
      <c r="A931" s="114"/>
      <c r="B931" s="27"/>
      <c r="C931" s="27"/>
      <c r="D931" s="27"/>
      <c r="E931" s="27"/>
      <c r="F931" s="114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 ht="15.75" customHeight="1">
      <c r="A932" s="114"/>
      <c r="B932" s="27"/>
      <c r="C932" s="27"/>
      <c r="D932" s="27"/>
      <c r="E932" s="27"/>
      <c r="F932" s="114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 ht="15.75" customHeight="1">
      <c r="A933" s="114"/>
      <c r="B933" s="27"/>
      <c r="C933" s="27"/>
      <c r="D933" s="27"/>
      <c r="E933" s="27"/>
      <c r="F933" s="114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 ht="15.75" customHeight="1">
      <c r="A934" s="114"/>
      <c r="B934" s="27"/>
      <c r="C934" s="27"/>
      <c r="D934" s="27"/>
      <c r="E934" s="27"/>
      <c r="F934" s="114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 ht="15.75" customHeight="1">
      <c r="A935" s="114"/>
      <c r="B935" s="27"/>
      <c r="C935" s="27"/>
      <c r="D935" s="27"/>
      <c r="E935" s="27"/>
      <c r="F935" s="114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 ht="15.75" customHeight="1">
      <c r="A936" s="114"/>
      <c r="B936" s="27"/>
      <c r="C936" s="27"/>
      <c r="D936" s="27"/>
      <c r="E936" s="27"/>
      <c r="F936" s="114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 ht="15.75" customHeight="1">
      <c r="A937" s="114"/>
      <c r="B937" s="27"/>
      <c r="C937" s="27"/>
      <c r="D937" s="27"/>
      <c r="E937" s="27"/>
      <c r="F937" s="114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 ht="15.75" customHeight="1">
      <c r="A938" s="114"/>
      <c r="B938" s="27"/>
      <c r="C938" s="27"/>
      <c r="D938" s="27"/>
      <c r="E938" s="27"/>
      <c r="F938" s="114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 ht="15.75" customHeight="1">
      <c r="A939" s="114"/>
      <c r="B939" s="27"/>
      <c r="C939" s="27"/>
      <c r="D939" s="27"/>
      <c r="E939" s="27"/>
      <c r="F939" s="114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 ht="15.75" customHeight="1">
      <c r="A940" s="114"/>
      <c r="B940" s="27"/>
      <c r="C940" s="27"/>
      <c r="D940" s="27"/>
      <c r="E940" s="27"/>
      <c r="F940" s="114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 ht="15.75" customHeight="1">
      <c r="A941" s="114"/>
      <c r="B941" s="27"/>
      <c r="C941" s="27"/>
      <c r="D941" s="27"/>
      <c r="E941" s="27"/>
      <c r="F941" s="114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 ht="15.75" customHeight="1">
      <c r="A942" s="114"/>
      <c r="B942" s="27"/>
      <c r="C942" s="27"/>
      <c r="D942" s="27"/>
      <c r="E942" s="27"/>
      <c r="F942" s="114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 ht="15.75" customHeight="1">
      <c r="A943" s="114"/>
      <c r="B943" s="27"/>
      <c r="C943" s="27"/>
      <c r="D943" s="27"/>
      <c r="E943" s="27"/>
      <c r="F943" s="114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 ht="15.75" customHeight="1">
      <c r="A944" s="114"/>
      <c r="B944" s="27"/>
      <c r="C944" s="27"/>
      <c r="D944" s="27"/>
      <c r="E944" s="27"/>
      <c r="F944" s="114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 ht="15.75" customHeight="1">
      <c r="A945" s="114"/>
      <c r="B945" s="27"/>
      <c r="C945" s="27"/>
      <c r="D945" s="27"/>
      <c r="E945" s="27"/>
      <c r="F945" s="114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 ht="15.75" customHeight="1">
      <c r="A946" s="114"/>
      <c r="B946" s="27"/>
      <c r="C946" s="27"/>
      <c r="D946" s="27"/>
      <c r="E946" s="27"/>
      <c r="F946" s="114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 ht="15.75" customHeight="1">
      <c r="A947" s="114"/>
      <c r="B947" s="27"/>
      <c r="C947" s="27"/>
      <c r="D947" s="27"/>
      <c r="E947" s="27"/>
      <c r="F947" s="114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 ht="15.75" customHeight="1">
      <c r="A948" s="114"/>
      <c r="B948" s="27"/>
      <c r="C948" s="27"/>
      <c r="D948" s="27"/>
      <c r="E948" s="27"/>
      <c r="F948" s="114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 ht="15.75" customHeight="1">
      <c r="A949" s="114"/>
      <c r="B949" s="27"/>
      <c r="C949" s="27"/>
      <c r="D949" s="27"/>
      <c r="E949" s="27"/>
      <c r="F949" s="114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 ht="15.75" customHeight="1">
      <c r="A950" s="114"/>
      <c r="B950" s="27"/>
      <c r="C950" s="27"/>
      <c r="D950" s="27"/>
      <c r="E950" s="27"/>
      <c r="F950" s="114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 ht="15.75" customHeight="1">
      <c r="A951" s="114"/>
      <c r="B951" s="27"/>
      <c r="C951" s="27"/>
      <c r="D951" s="27"/>
      <c r="E951" s="27"/>
      <c r="F951" s="114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 ht="15.75" customHeight="1">
      <c r="A952" s="114"/>
      <c r="B952" s="27"/>
      <c r="C952" s="27"/>
      <c r="D952" s="27"/>
      <c r="E952" s="27"/>
      <c r="F952" s="114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 ht="15.75" customHeight="1">
      <c r="A953" s="114"/>
      <c r="B953" s="27"/>
      <c r="C953" s="27"/>
      <c r="D953" s="27"/>
      <c r="E953" s="27"/>
      <c r="F953" s="114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 ht="15.75" customHeight="1">
      <c r="A954" s="114"/>
      <c r="B954" s="27"/>
      <c r="C954" s="27"/>
      <c r="D954" s="27"/>
      <c r="E954" s="27"/>
      <c r="F954" s="114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 ht="15.75" customHeight="1">
      <c r="A955" s="114"/>
      <c r="B955" s="27"/>
      <c r="C955" s="27"/>
      <c r="D955" s="27"/>
      <c r="E955" s="27"/>
      <c r="F955" s="114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 ht="15.75" customHeight="1">
      <c r="A956" s="114"/>
      <c r="B956" s="27"/>
      <c r="C956" s="27"/>
      <c r="D956" s="27"/>
      <c r="E956" s="27"/>
      <c r="F956" s="114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 ht="15.75" customHeight="1">
      <c r="A957" s="114"/>
      <c r="B957" s="27"/>
      <c r="C957" s="27"/>
      <c r="D957" s="27"/>
      <c r="E957" s="27"/>
      <c r="F957" s="114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 ht="15.75" customHeight="1">
      <c r="A958" s="114"/>
      <c r="B958" s="27"/>
      <c r="C958" s="27"/>
      <c r="D958" s="27"/>
      <c r="E958" s="27"/>
      <c r="F958" s="114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ht="15.75" customHeight="1">
      <c r="A959" s="114"/>
      <c r="B959" s="27"/>
      <c r="C959" s="27"/>
      <c r="D959" s="27"/>
      <c r="E959" s="27"/>
      <c r="F959" s="114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 ht="15.75" customHeight="1">
      <c r="A960" s="114"/>
      <c r="B960" s="27"/>
      <c r="C960" s="27"/>
      <c r="D960" s="27"/>
      <c r="E960" s="27"/>
      <c r="F960" s="114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 ht="15.75" customHeight="1">
      <c r="A961" s="114"/>
      <c r="B961" s="27"/>
      <c r="C961" s="27"/>
      <c r="D961" s="27"/>
      <c r="E961" s="27"/>
      <c r="F961" s="114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 ht="15.75" customHeight="1">
      <c r="A962" s="114"/>
      <c r="B962" s="27"/>
      <c r="C962" s="27"/>
      <c r="D962" s="27"/>
      <c r="E962" s="27"/>
      <c r="F962" s="114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 ht="15.75" customHeight="1">
      <c r="A963" s="114"/>
      <c r="B963" s="27"/>
      <c r="C963" s="27"/>
      <c r="D963" s="27"/>
      <c r="E963" s="27"/>
      <c r="F963" s="114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 ht="15.75" customHeight="1">
      <c r="A964" s="114"/>
      <c r="B964" s="27"/>
      <c r="C964" s="27"/>
      <c r="D964" s="27"/>
      <c r="E964" s="27"/>
      <c r="F964" s="114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 ht="15.75" customHeight="1">
      <c r="A965" s="114"/>
      <c r="B965" s="27"/>
      <c r="C965" s="27"/>
      <c r="D965" s="27"/>
      <c r="E965" s="27"/>
      <c r="F965" s="114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 ht="15.75" customHeight="1">
      <c r="A966" s="114"/>
      <c r="B966" s="27"/>
      <c r="C966" s="27"/>
      <c r="D966" s="27"/>
      <c r="E966" s="27"/>
      <c r="F966" s="114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 ht="15.75" customHeight="1">
      <c r="A967" s="114"/>
      <c r="B967" s="27"/>
      <c r="C967" s="27"/>
      <c r="D967" s="27"/>
      <c r="E967" s="27"/>
      <c r="F967" s="114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 ht="15.75" customHeight="1">
      <c r="A968" s="114"/>
      <c r="B968" s="27"/>
      <c r="C968" s="27"/>
      <c r="D968" s="27"/>
      <c r="E968" s="27"/>
      <c r="F968" s="114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 ht="15.75" customHeight="1">
      <c r="A969" s="114"/>
      <c r="B969" s="27"/>
      <c r="C969" s="27"/>
      <c r="D969" s="27"/>
      <c r="E969" s="27"/>
      <c r="F969" s="114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 ht="15.75" customHeight="1">
      <c r="A970" s="114"/>
      <c r="B970" s="27"/>
      <c r="C970" s="27"/>
      <c r="D970" s="27"/>
      <c r="E970" s="27"/>
      <c r="F970" s="114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 ht="15.75" customHeight="1">
      <c r="A971" s="114"/>
      <c r="B971" s="27"/>
      <c r="C971" s="27"/>
      <c r="D971" s="27"/>
      <c r="E971" s="27"/>
      <c r="F971" s="114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 ht="15.75" customHeight="1">
      <c r="A972" s="114"/>
      <c r="B972" s="27"/>
      <c r="C972" s="27"/>
      <c r="D972" s="27"/>
      <c r="E972" s="27"/>
      <c r="F972" s="114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 ht="15.75" customHeight="1">
      <c r="A973" s="114"/>
      <c r="B973" s="27"/>
      <c r="C973" s="27"/>
      <c r="D973" s="27"/>
      <c r="E973" s="27"/>
      <c r="F973" s="114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 ht="15.75" customHeight="1">
      <c r="A974" s="114"/>
      <c r="B974" s="27"/>
      <c r="C974" s="27"/>
      <c r="D974" s="27"/>
      <c r="E974" s="27"/>
      <c r="F974" s="114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 ht="15.75" customHeight="1">
      <c r="A975" s="114"/>
      <c r="B975" s="27"/>
      <c r="C975" s="27"/>
      <c r="D975" s="27"/>
      <c r="E975" s="27"/>
      <c r="F975" s="114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 ht="15.75" customHeight="1">
      <c r="A976" s="114"/>
      <c r="B976" s="27"/>
      <c r="C976" s="27"/>
      <c r="D976" s="27"/>
      <c r="E976" s="27"/>
      <c r="F976" s="114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 ht="15.75" customHeight="1">
      <c r="A977" s="114"/>
      <c r="B977" s="27"/>
      <c r="C977" s="27"/>
      <c r="D977" s="27"/>
      <c r="E977" s="27"/>
      <c r="F977" s="114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 ht="15.75" customHeight="1">
      <c r="A978" s="114"/>
      <c r="B978" s="27"/>
      <c r="C978" s="27"/>
      <c r="D978" s="27"/>
      <c r="E978" s="27"/>
      <c r="F978" s="114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 ht="15.75" customHeight="1">
      <c r="A979" s="114"/>
      <c r="B979" s="27"/>
      <c r="C979" s="27"/>
      <c r="D979" s="27"/>
      <c r="E979" s="27"/>
      <c r="F979" s="114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 ht="15.75" customHeight="1">
      <c r="A980" s="114"/>
      <c r="B980" s="27"/>
      <c r="C980" s="27"/>
      <c r="D980" s="27"/>
      <c r="E980" s="27"/>
      <c r="F980" s="114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 ht="15.75" customHeight="1">
      <c r="A981" s="114"/>
      <c r="B981" s="27"/>
      <c r="C981" s="27"/>
      <c r="D981" s="27"/>
      <c r="E981" s="27"/>
      <c r="F981" s="114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 ht="15.75" customHeight="1">
      <c r="A982" s="114"/>
      <c r="B982" s="27"/>
      <c r="C982" s="27"/>
      <c r="D982" s="27"/>
      <c r="E982" s="27"/>
      <c r="F982" s="114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 ht="15.75" customHeight="1">
      <c r="A983" s="114"/>
      <c r="B983" s="27"/>
      <c r="C983" s="27"/>
      <c r="D983" s="27"/>
      <c r="E983" s="27"/>
      <c r="F983" s="114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 ht="15.75" customHeight="1">
      <c r="A984" s="114"/>
      <c r="B984" s="27"/>
      <c r="C984" s="27"/>
      <c r="D984" s="27"/>
      <c r="E984" s="27"/>
      <c r="F984" s="114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 ht="15.75" customHeight="1">
      <c r="A985" s="114"/>
      <c r="B985" s="27"/>
      <c r="C985" s="27"/>
      <c r="D985" s="27"/>
      <c r="E985" s="27"/>
      <c r="F985" s="114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 ht="15.75" customHeight="1">
      <c r="A986" s="114"/>
      <c r="B986" s="27"/>
      <c r="C986" s="27"/>
      <c r="D986" s="27"/>
      <c r="E986" s="27"/>
      <c r="F986" s="114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ht="15.75" customHeight="1">
      <c r="A987" s="114"/>
      <c r="B987" s="27"/>
      <c r="C987" s="27"/>
      <c r="D987" s="27"/>
      <c r="E987" s="27"/>
      <c r="F987" s="114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 ht="15.75" customHeight="1">
      <c r="A988" s="114"/>
      <c r="B988" s="27"/>
      <c r="C988" s="27"/>
      <c r="D988" s="27"/>
      <c r="E988" s="27"/>
      <c r="F988" s="114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 ht="15.75" customHeight="1">
      <c r="A989" s="114"/>
      <c r="B989" s="27"/>
      <c r="C989" s="27"/>
      <c r="D989" s="27"/>
      <c r="E989" s="27"/>
      <c r="F989" s="114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 ht="15.75" customHeight="1">
      <c r="A990" s="114"/>
      <c r="B990" s="27"/>
      <c r="C990" s="27"/>
      <c r="D990" s="27"/>
      <c r="E990" s="27"/>
      <c r="F990" s="114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 ht="15.75" customHeight="1">
      <c r="A991" s="114"/>
      <c r="B991" s="27"/>
      <c r="C991" s="27"/>
      <c r="D991" s="27"/>
      <c r="E991" s="27"/>
      <c r="F991" s="114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 ht="15.75" customHeight="1">
      <c r="A992" s="114"/>
      <c r="B992" s="27"/>
      <c r="C992" s="27"/>
      <c r="D992" s="27"/>
      <c r="E992" s="27"/>
      <c r="F992" s="114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 ht="15.75" customHeight="1">
      <c r="A993" s="114"/>
      <c r="B993" s="27"/>
      <c r="C993" s="27"/>
      <c r="D993" s="27"/>
      <c r="E993" s="27"/>
      <c r="F993" s="114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 ht="15.75" customHeight="1">
      <c r="A994" s="114"/>
      <c r="B994" s="27"/>
      <c r="C994" s="27"/>
      <c r="D994" s="27"/>
      <c r="E994" s="27"/>
      <c r="F994" s="114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 ht="15.75" customHeight="1">
      <c r="A995" s="114"/>
      <c r="B995" s="27"/>
      <c r="C995" s="27"/>
      <c r="D995" s="27"/>
      <c r="E995" s="27"/>
      <c r="F995" s="114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 ht="15.75" customHeight="1">
      <c r="A996" s="114"/>
      <c r="B996" s="27"/>
      <c r="C996" s="27"/>
      <c r="D996" s="27"/>
      <c r="E996" s="27"/>
      <c r="F996" s="114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 ht="15.75" customHeight="1">
      <c r="A997" s="114"/>
      <c r="B997" s="27"/>
      <c r="C997" s="27"/>
      <c r="D997" s="27"/>
      <c r="E997" s="27"/>
      <c r="F997" s="114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 ht="15.75" customHeight="1">
      <c r="A998" s="114"/>
      <c r="B998" s="27"/>
      <c r="C998" s="27"/>
      <c r="D998" s="27"/>
      <c r="E998" s="27"/>
      <c r="F998" s="114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 ht="15.75" customHeight="1">
      <c r="A999" s="114"/>
      <c r="B999" s="27"/>
      <c r="C999" s="27"/>
      <c r="D999" s="27"/>
      <c r="E999" s="27"/>
      <c r="F999" s="114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 ht="15.75" customHeight="1">
      <c r="A1000" s="114"/>
      <c r="B1000" s="27"/>
      <c r="C1000" s="27"/>
      <c r="D1000" s="27"/>
      <c r="E1000" s="27"/>
      <c r="F1000" s="114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  <row r="1001" ht="15.75" customHeight="1">
      <c r="A1001" s="114"/>
      <c r="B1001" s="27"/>
      <c r="C1001" s="27"/>
      <c r="D1001" s="27"/>
      <c r="E1001" s="27"/>
      <c r="F1001" s="114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</row>
    <row r="1002" ht="15.75" customHeight="1">
      <c r="A1002" s="114"/>
      <c r="B1002" s="27"/>
      <c r="C1002" s="27"/>
      <c r="D1002" s="27"/>
      <c r="E1002" s="27"/>
      <c r="F1002" s="114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</row>
    <row r="1003" ht="15.75" customHeight="1">
      <c r="A1003" s="114"/>
      <c r="B1003" s="27"/>
      <c r="C1003" s="27"/>
      <c r="D1003" s="27"/>
      <c r="E1003" s="27"/>
      <c r="F1003" s="114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</row>
    <row r="1004" ht="15.75" customHeight="1">
      <c r="A1004" s="114"/>
      <c r="B1004" s="27"/>
      <c r="C1004" s="27"/>
      <c r="D1004" s="27"/>
      <c r="E1004" s="27"/>
      <c r="F1004" s="114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</row>
    <row r="1005" ht="15.75" customHeight="1">
      <c r="A1005" s="114"/>
      <c r="B1005" s="27"/>
      <c r="C1005" s="27"/>
      <c r="D1005" s="27"/>
      <c r="E1005" s="27"/>
      <c r="F1005" s="114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</row>
    <row r="1006" ht="15.75" customHeight="1">
      <c r="A1006" s="114"/>
      <c r="B1006" s="27"/>
      <c r="C1006" s="27"/>
      <c r="D1006" s="27"/>
      <c r="E1006" s="27"/>
      <c r="F1006" s="114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</row>
    <row r="1007" ht="15.75" customHeight="1">
      <c r="A1007" s="114"/>
      <c r="B1007" s="27"/>
      <c r="C1007" s="27"/>
      <c r="D1007" s="27"/>
      <c r="E1007" s="27"/>
      <c r="F1007" s="114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</row>
    <row r="1008" ht="15.75" customHeight="1">
      <c r="A1008" s="114"/>
      <c r="B1008" s="27"/>
      <c r="C1008" s="27"/>
      <c r="D1008" s="27"/>
      <c r="E1008" s="27"/>
      <c r="F1008" s="114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</row>
    <row r="1009" ht="15.75" customHeight="1">
      <c r="A1009" s="114"/>
      <c r="B1009" s="27"/>
      <c r="C1009" s="27"/>
      <c r="D1009" s="27"/>
      <c r="E1009" s="27"/>
      <c r="F1009" s="114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</row>
    <row r="1010" ht="15.75" customHeight="1">
      <c r="A1010" s="114"/>
      <c r="B1010" s="27"/>
      <c r="C1010" s="27"/>
      <c r="D1010" s="27"/>
      <c r="E1010" s="27"/>
      <c r="F1010" s="114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</row>
    <row r="1011" ht="15.75" customHeight="1">
      <c r="A1011" s="114"/>
      <c r="B1011" s="27"/>
      <c r="C1011" s="27"/>
      <c r="D1011" s="27"/>
      <c r="E1011" s="27"/>
      <c r="F1011" s="114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</row>
    <row r="1012" ht="15.75" customHeight="1">
      <c r="A1012" s="114"/>
      <c r="B1012" s="27"/>
      <c r="C1012" s="27"/>
      <c r="D1012" s="27"/>
      <c r="E1012" s="27"/>
      <c r="F1012" s="114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</row>
    <row r="1013" ht="15.75" customHeight="1">
      <c r="A1013" s="114"/>
      <c r="B1013" s="27"/>
      <c r="C1013" s="27"/>
      <c r="D1013" s="27"/>
      <c r="E1013" s="27"/>
      <c r="F1013" s="114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</row>
    <row r="1014" ht="15.75" customHeight="1">
      <c r="A1014" s="114"/>
      <c r="B1014" s="27"/>
      <c r="C1014" s="27"/>
      <c r="D1014" s="27"/>
      <c r="E1014" s="27"/>
      <c r="F1014" s="114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</row>
    <row r="1015" ht="15.75" customHeight="1">
      <c r="A1015" s="114"/>
      <c r="B1015" s="27"/>
      <c r="C1015" s="27"/>
      <c r="D1015" s="27"/>
      <c r="E1015" s="27"/>
      <c r="F1015" s="114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</row>
    <row r="1016" ht="15.75" customHeight="1">
      <c r="A1016" s="114"/>
      <c r="B1016" s="27"/>
      <c r="C1016" s="27"/>
      <c r="D1016" s="27"/>
      <c r="E1016" s="27"/>
      <c r="F1016" s="114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</row>
    <row r="1017" ht="15.75" customHeight="1">
      <c r="A1017" s="114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</row>
    <row r="1018" ht="15.75" customHeight="1">
      <c r="A1018" s="114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</row>
    <row r="1019" ht="15.75" customHeight="1">
      <c r="A1019" s="114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</row>
    <row r="1020" ht="15.75" customHeight="1"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</row>
  </sheetData>
  <dataValidations>
    <dataValidation type="list" allowBlank="1" showErrorMessage="1" sqref="F2:F34">
      <formula1>para!$A$2:$A$8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CC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3" width="15.25"/>
    <col customWidth="1" min="4" max="4" width="12.38"/>
    <col customWidth="1" min="5" max="5" width="14.0"/>
    <col customWidth="1" min="6" max="6" width="26.5"/>
    <col customWidth="1" min="7" max="7" width="26.63"/>
    <col customWidth="1" min="8" max="8" width="31.0"/>
    <col customWidth="1" min="9" max="9" width="20.25"/>
    <col customWidth="1" min="10" max="10" width="9.0"/>
    <col customWidth="1" min="11" max="11" width="35.63"/>
    <col customWidth="1" min="12" max="12" width="15.5"/>
    <col customWidth="1" min="13" max="15" width="9.0"/>
    <col customWidth="1" min="16" max="27" width="8.63"/>
  </cols>
  <sheetData>
    <row r="1" ht="15.75" customHeight="1">
      <c r="A1" s="1"/>
      <c r="B1" s="3" t="s">
        <v>1</v>
      </c>
      <c r="C1" s="3" t="s">
        <v>3</v>
      </c>
      <c r="D1" s="8" t="s">
        <v>6</v>
      </c>
      <c r="E1" s="8" t="s">
        <v>8</v>
      </c>
      <c r="F1" s="14" t="s">
        <v>9</v>
      </c>
      <c r="G1" s="3" t="s">
        <v>15</v>
      </c>
      <c r="H1" s="3" t="s">
        <v>16</v>
      </c>
      <c r="I1" s="19" t="s">
        <v>17</v>
      </c>
      <c r="J1" s="26"/>
      <c r="K1" s="28"/>
      <c r="L1" s="33" t="s">
        <v>38</v>
      </c>
      <c r="M1" s="36" t="s">
        <v>52</v>
      </c>
      <c r="N1" s="38" t="s">
        <v>60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5.75" customHeight="1">
      <c r="A2" s="1">
        <v>1.0</v>
      </c>
      <c r="B2" s="16" t="s">
        <v>69</v>
      </c>
      <c r="C2" s="16" t="s">
        <v>70</v>
      </c>
      <c r="D2" s="16" t="s">
        <v>45</v>
      </c>
      <c r="E2" s="16" t="s">
        <v>73</v>
      </c>
      <c r="F2" s="41" t="s">
        <v>79</v>
      </c>
      <c r="G2" s="16"/>
      <c r="H2" s="42" t="s">
        <v>34</v>
      </c>
      <c r="I2" s="44" t="s">
        <v>84</v>
      </c>
      <c r="J2" s="46" t="s">
        <v>89</v>
      </c>
      <c r="K2" s="47" t="s">
        <v>94</v>
      </c>
      <c r="L2" s="49" t="s">
        <v>34</v>
      </c>
      <c r="M2" s="49">
        <v>7.0</v>
      </c>
      <c r="N2" s="51">
        <f t="shared" ref="N2:N34" si="1">COUNTIF(H:H,L2)</f>
        <v>7</v>
      </c>
      <c r="O2" s="39"/>
      <c r="P2" s="52" t="s">
        <v>111</v>
      </c>
      <c r="Q2" s="52" t="s">
        <v>113</v>
      </c>
      <c r="R2" s="52" t="s">
        <v>114</v>
      </c>
      <c r="S2" s="52" t="s">
        <v>115</v>
      </c>
      <c r="T2" s="52" t="s">
        <v>116</v>
      </c>
      <c r="U2" s="39"/>
      <c r="V2" s="39"/>
      <c r="W2" s="39"/>
      <c r="X2" s="39"/>
      <c r="Y2" s="39"/>
      <c r="Z2" s="39"/>
      <c r="AA2" s="39"/>
    </row>
    <row r="3" ht="15.75" customHeight="1">
      <c r="A3" s="1">
        <v>2.0</v>
      </c>
      <c r="B3" s="16" t="s">
        <v>69</v>
      </c>
      <c r="C3" s="16" t="s">
        <v>119</v>
      </c>
      <c r="D3" s="16" t="s">
        <v>45</v>
      </c>
      <c r="E3" s="16" t="s">
        <v>120</v>
      </c>
      <c r="F3" s="41" t="s">
        <v>122</v>
      </c>
      <c r="G3" s="16"/>
      <c r="H3" s="42" t="s">
        <v>34</v>
      </c>
      <c r="I3" s="44" t="s">
        <v>123</v>
      </c>
      <c r="J3" s="46" t="s">
        <v>124</v>
      </c>
      <c r="K3" s="55" t="s">
        <v>125</v>
      </c>
      <c r="L3" s="49" t="s">
        <v>42</v>
      </c>
      <c r="M3" s="49">
        <v>2.0</v>
      </c>
      <c r="N3" s="51">
        <f t="shared" si="1"/>
        <v>2</v>
      </c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5.75" customHeight="1">
      <c r="A4" s="1">
        <v>3.0</v>
      </c>
      <c r="B4" s="16" t="s">
        <v>69</v>
      </c>
      <c r="C4" s="16" t="s">
        <v>130</v>
      </c>
      <c r="D4" s="16" t="s">
        <v>45</v>
      </c>
      <c r="E4" s="20" t="s">
        <v>132</v>
      </c>
      <c r="F4" s="41" t="s">
        <v>79</v>
      </c>
      <c r="G4" s="16"/>
      <c r="H4" s="42" t="s">
        <v>34</v>
      </c>
      <c r="I4" s="37" t="s">
        <v>135</v>
      </c>
      <c r="J4" s="46" t="s">
        <v>136</v>
      </c>
      <c r="K4" s="55" t="s">
        <v>138</v>
      </c>
      <c r="L4" s="49" t="s">
        <v>43</v>
      </c>
      <c r="M4" s="49">
        <v>3.0</v>
      </c>
      <c r="N4" s="51">
        <f t="shared" si="1"/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5.75" customHeight="1">
      <c r="A5" s="1">
        <v>4.0</v>
      </c>
      <c r="B5" s="16" t="s">
        <v>69</v>
      </c>
      <c r="C5" s="16" t="s">
        <v>142</v>
      </c>
      <c r="D5" s="16" t="s">
        <v>45</v>
      </c>
      <c r="E5" s="58"/>
      <c r="F5" s="41" t="s">
        <v>79</v>
      </c>
      <c r="G5" s="39"/>
      <c r="H5" s="42" t="s">
        <v>34</v>
      </c>
      <c r="I5" s="37" t="s">
        <v>135</v>
      </c>
      <c r="J5" s="46" t="s">
        <v>144</v>
      </c>
      <c r="K5" s="55" t="s">
        <v>145</v>
      </c>
      <c r="L5" s="49" t="s">
        <v>44</v>
      </c>
      <c r="M5" s="61">
        <v>5.0</v>
      </c>
      <c r="N5" s="51">
        <f t="shared" si="1"/>
        <v>6</v>
      </c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5.75" customHeight="1">
      <c r="A6" s="1">
        <v>5.0</v>
      </c>
      <c r="B6" s="16" t="s">
        <v>69</v>
      </c>
      <c r="C6" s="16" t="s">
        <v>147</v>
      </c>
      <c r="D6" s="16" t="s">
        <v>45</v>
      </c>
      <c r="E6" s="20" t="s">
        <v>149</v>
      </c>
      <c r="F6" s="41" t="s">
        <v>79</v>
      </c>
      <c r="G6" s="16"/>
      <c r="H6" s="42" t="s">
        <v>34</v>
      </c>
      <c r="I6" s="37" t="s">
        <v>135</v>
      </c>
      <c r="J6" s="46" t="s">
        <v>150</v>
      </c>
      <c r="K6" s="55" t="s">
        <v>151</v>
      </c>
      <c r="L6" s="49" t="s">
        <v>46</v>
      </c>
      <c r="M6" s="49">
        <v>5.0</v>
      </c>
      <c r="N6" s="51">
        <f t="shared" si="1"/>
        <v>5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5.75" customHeight="1">
      <c r="A7" s="1">
        <v>6.0</v>
      </c>
      <c r="B7" s="16" t="s">
        <v>69</v>
      </c>
      <c r="C7" s="16" t="s">
        <v>153</v>
      </c>
      <c r="D7" s="16" t="s">
        <v>45</v>
      </c>
      <c r="E7" s="16"/>
      <c r="F7" s="41" t="s">
        <v>79</v>
      </c>
      <c r="G7" s="16"/>
      <c r="H7" s="42" t="s">
        <v>34</v>
      </c>
      <c r="I7" s="37" t="s">
        <v>135</v>
      </c>
      <c r="J7" s="46" t="s">
        <v>155</v>
      </c>
      <c r="K7" s="64" t="s">
        <v>157</v>
      </c>
      <c r="L7" s="49" t="s">
        <v>48</v>
      </c>
      <c r="M7" s="66" t="s">
        <v>160</v>
      </c>
      <c r="N7" s="51">
        <f t="shared" si="1"/>
        <v>4</v>
      </c>
      <c r="O7" s="68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5.75" customHeight="1">
      <c r="A8" s="1">
        <v>7.0</v>
      </c>
      <c r="B8" s="16" t="s">
        <v>69</v>
      </c>
      <c r="C8" s="58" t="s">
        <v>164</v>
      </c>
      <c r="D8" s="58" t="s">
        <v>45</v>
      </c>
      <c r="E8" s="58"/>
      <c r="F8" s="41" t="s">
        <v>79</v>
      </c>
      <c r="G8" s="58"/>
      <c r="H8" s="42" t="s">
        <v>34</v>
      </c>
      <c r="I8" s="37" t="s">
        <v>135</v>
      </c>
      <c r="J8" s="46" t="s">
        <v>167</v>
      </c>
      <c r="K8" s="55" t="s">
        <v>168</v>
      </c>
      <c r="L8" s="49" t="s">
        <v>49</v>
      </c>
      <c r="M8" s="66" t="s">
        <v>169</v>
      </c>
      <c r="N8" s="51">
        <f t="shared" si="1"/>
        <v>4</v>
      </c>
      <c r="O8" s="72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5.75" customHeight="1">
      <c r="A9" s="1">
        <v>8.0</v>
      </c>
      <c r="B9" s="35" t="s">
        <v>69</v>
      </c>
      <c r="C9" s="75" t="s">
        <v>171</v>
      </c>
      <c r="D9" s="81" t="s">
        <v>177</v>
      </c>
      <c r="E9" s="81" t="s">
        <v>190</v>
      </c>
      <c r="F9" s="40" t="s">
        <v>79</v>
      </c>
      <c r="G9" s="32"/>
      <c r="H9" s="83" t="s">
        <v>42</v>
      </c>
      <c r="I9" s="84"/>
      <c r="J9" s="46" t="s">
        <v>196</v>
      </c>
      <c r="K9" s="55" t="s">
        <v>197</v>
      </c>
      <c r="L9" s="49" t="s">
        <v>51</v>
      </c>
      <c r="M9" s="49">
        <f t="shared" ref="M9:M11" si="2">N9</f>
        <v>2</v>
      </c>
      <c r="N9" s="51">
        <f t="shared" si="1"/>
        <v>2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5.75" customHeight="1">
      <c r="A10" s="1">
        <v>9.0</v>
      </c>
      <c r="B10" s="35" t="s">
        <v>69</v>
      </c>
      <c r="C10" s="75" t="s">
        <v>202</v>
      </c>
      <c r="D10" s="81" t="s">
        <v>203</v>
      </c>
      <c r="E10" s="81" t="s">
        <v>204</v>
      </c>
      <c r="F10" s="40" t="s">
        <v>79</v>
      </c>
      <c r="G10" s="32"/>
      <c r="H10" s="83" t="s">
        <v>42</v>
      </c>
      <c r="I10" s="84"/>
      <c r="J10" s="46" t="s">
        <v>205</v>
      </c>
      <c r="K10" s="55" t="s">
        <v>197</v>
      </c>
      <c r="L10" s="49" t="s">
        <v>54</v>
      </c>
      <c r="M10" s="49">
        <f t="shared" si="2"/>
        <v>4</v>
      </c>
      <c r="N10" s="51">
        <f t="shared" si="1"/>
        <v>4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5.75" customHeight="1">
      <c r="A11" s="1">
        <v>10.0</v>
      </c>
      <c r="B11" s="35" t="s">
        <v>69</v>
      </c>
      <c r="C11" s="90" t="s">
        <v>208</v>
      </c>
      <c r="D11" s="62" t="s">
        <v>177</v>
      </c>
      <c r="E11" s="62" t="s">
        <v>211</v>
      </c>
      <c r="F11" s="62" t="s">
        <v>79</v>
      </c>
      <c r="G11" s="92"/>
      <c r="H11" s="93" t="s">
        <v>43</v>
      </c>
      <c r="I11" s="84"/>
      <c r="J11" s="46" t="s">
        <v>215</v>
      </c>
      <c r="K11" s="55" t="s">
        <v>216</v>
      </c>
      <c r="L11" s="49" t="s">
        <v>55</v>
      </c>
      <c r="M11" s="49">
        <f t="shared" si="2"/>
        <v>5</v>
      </c>
      <c r="N11" s="51">
        <f t="shared" si="1"/>
        <v>5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5.75" customHeight="1">
      <c r="A12" s="1">
        <v>11.0</v>
      </c>
      <c r="B12" s="35" t="s">
        <v>69</v>
      </c>
      <c r="C12" s="90" t="s">
        <v>219</v>
      </c>
      <c r="D12" s="62" t="s">
        <v>177</v>
      </c>
      <c r="E12" s="62" t="s">
        <v>220</v>
      </c>
      <c r="F12" s="62" t="s">
        <v>79</v>
      </c>
      <c r="G12" s="92"/>
      <c r="H12" s="93" t="s">
        <v>43</v>
      </c>
      <c r="I12" s="84"/>
      <c r="J12" s="46" t="s">
        <v>222</v>
      </c>
      <c r="K12" s="55" t="s">
        <v>224</v>
      </c>
      <c r="L12" s="49" t="s">
        <v>56</v>
      </c>
      <c r="M12" s="49">
        <v>3.0</v>
      </c>
      <c r="N12" s="51">
        <f t="shared" si="1"/>
        <v>3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5.75" customHeight="1">
      <c r="A13" s="1">
        <v>12.0</v>
      </c>
      <c r="B13" s="35" t="s">
        <v>69</v>
      </c>
      <c r="C13" s="90"/>
      <c r="D13" s="92"/>
      <c r="E13" s="92"/>
      <c r="F13" s="62" t="s">
        <v>79</v>
      </c>
      <c r="G13" s="92"/>
      <c r="H13" s="93" t="s">
        <v>43</v>
      </c>
      <c r="I13" s="84"/>
      <c r="J13" s="46" t="s">
        <v>229</v>
      </c>
      <c r="K13" s="96" t="s">
        <v>230</v>
      </c>
      <c r="L13" s="49" t="s">
        <v>57</v>
      </c>
      <c r="M13" s="49">
        <f>N13</f>
        <v>5</v>
      </c>
      <c r="N13" s="51">
        <f t="shared" si="1"/>
        <v>5</v>
      </c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5.75" customHeight="1">
      <c r="A14" s="1">
        <v>13.0</v>
      </c>
      <c r="B14" s="35" t="s">
        <v>69</v>
      </c>
      <c r="C14" s="81" t="s">
        <v>236</v>
      </c>
      <c r="D14" s="40" t="s">
        <v>177</v>
      </c>
      <c r="E14" s="40" t="s">
        <v>238</v>
      </c>
      <c r="F14" s="40" t="s">
        <v>79</v>
      </c>
      <c r="G14" s="32"/>
      <c r="H14" s="83" t="s">
        <v>44</v>
      </c>
      <c r="I14" s="84"/>
      <c r="J14" s="46" t="s">
        <v>240</v>
      </c>
      <c r="K14" s="100" t="s">
        <v>241</v>
      </c>
      <c r="L14" s="49" t="s">
        <v>59</v>
      </c>
      <c r="M14" s="101">
        <v>3.0</v>
      </c>
      <c r="N14" s="51">
        <f t="shared" si="1"/>
        <v>4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5.75" customHeight="1">
      <c r="A15" s="1">
        <v>14.0</v>
      </c>
      <c r="B15" s="35" t="s">
        <v>69</v>
      </c>
      <c r="C15" s="81" t="s">
        <v>244</v>
      </c>
      <c r="D15" s="40" t="s">
        <v>177</v>
      </c>
      <c r="E15" s="40" t="s">
        <v>246</v>
      </c>
      <c r="F15" s="40" t="s">
        <v>79</v>
      </c>
      <c r="G15" s="32"/>
      <c r="H15" s="83" t="s">
        <v>44</v>
      </c>
      <c r="I15" s="84"/>
      <c r="J15" s="46" t="s">
        <v>248</v>
      </c>
      <c r="K15" s="102" t="s">
        <v>249</v>
      </c>
      <c r="L15" s="49" t="s">
        <v>61</v>
      </c>
      <c r="M15" s="103">
        <v>4.0</v>
      </c>
      <c r="N15" s="51">
        <f t="shared" si="1"/>
        <v>4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5.75" customHeight="1">
      <c r="A16" s="1">
        <v>15.0</v>
      </c>
      <c r="B16" s="35" t="s">
        <v>69</v>
      </c>
      <c r="C16" s="81"/>
      <c r="D16" s="32"/>
      <c r="E16" s="32"/>
      <c r="F16" s="40" t="s">
        <v>79</v>
      </c>
      <c r="G16" s="32"/>
      <c r="H16" s="83" t="s">
        <v>44</v>
      </c>
      <c r="I16" s="84"/>
      <c r="J16" s="46" t="s">
        <v>253</v>
      </c>
      <c r="K16" s="100" t="s">
        <v>254</v>
      </c>
      <c r="L16" s="49" t="s">
        <v>62</v>
      </c>
      <c r="M16" s="103">
        <v>5.0</v>
      </c>
      <c r="N16" s="51">
        <f t="shared" si="1"/>
        <v>5</v>
      </c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5.75" customHeight="1">
      <c r="A17" s="1">
        <v>16.0</v>
      </c>
      <c r="B17" s="35" t="s">
        <v>69</v>
      </c>
      <c r="C17" s="81"/>
      <c r="D17" s="32"/>
      <c r="E17" s="32"/>
      <c r="F17" s="40" t="s">
        <v>79</v>
      </c>
      <c r="G17" s="32"/>
      <c r="H17" s="83" t="s">
        <v>44</v>
      </c>
      <c r="I17" s="84"/>
      <c r="J17" s="46" t="s">
        <v>258</v>
      </c>
      <c r="K17" s="106" t="s">
        <v>259</v>
      </c>
      <c r="L17" s="49" t="s">
        <v>63</v>
      </c>
      <c r="M17" s="49" t="s">
        <v>160</v>
      </c>
      <c r="N17" s="51">
        <f t="shared" si="1"/>
        <v>4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5.75" customHeight="1">
      <c r="A18" s="1">
        <v>17.0</v>
      </c>
      <c r="B18" s="35" t="s">
        <v>69</v>
      </c>
      <c r="C18" s="81"/>
      <c r="D18" s="32"/>
      <c r="E18" s="32"/>
      <c r="F18" s="109" t="s">
        <v>79</v>
      </c>
      <c r="G18" s="32"/>
      <c r="H18" s="83" t="s">
        <v>44</v>
      </c>
      <c r="I18" s="84"/>
      <c r="J18" s="46" t="s">
        <v>262</v>
      </c>
      <c r="K18" s="111" t="s">
        <v>264</v>
      </c>
      <c r="L18" s="49" t="s">
        <v>65</v>
      </c>
      <c r="M18" s="49">
        <v>7.0</v>
      </c>
      <c r="N18" s="51">
        <f t="shared" si="1"/>
        <v>7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5.75" customHeight="1">
      <c r="A19" s="1">
        <v>18.0</v>
      </c>
      <c r="B19" s="35" t="s">
        <v>69</v>
      </c>
      <c r="C19" s="81"/>
      <c r="D19" s="32"/>
      <c r="E19" s="32"/>
      <c r="F19" s="109" t="s">
        <v>162</v>
      </c>
      <c r="G19" s="32"/>
      <c r="H19" s="83" t="s">
        <v>44</v>
      </c>
      <c r="I19" s="84"/>
      <c r="J19" s="46" t="s">
        <v>267</v>
      </c>
      <c r="K19" s="111" t="s">
        <v>268</v>
      </c>
      <c r="L19" s="49" t="s">
        <v>66</v>
      </c>
      <c r="M19" s="49">
        <v>14.0</v>
      </c>
      <c r="N19" s="51">
        <f t="shared" si="1"/>
        <v>14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5.75" customHeight="1">
      <c r="A20" s="1">
        <v>19.0</v>
      </c>
      <c r="B20" s="35" t="s">
        <v>69</v>
      </c>
      <c r="C20" s="90" t="s">
        <v>272</v>
      </c>
      <c r="D20" s="62" t="s">
        <v>177</v>
      </c>
      <c r="E20" s="62" t="s">
        <v>273</v>
      </c>
      <c r="F20" s="115" t="s">
        <v>79</v>
      </c>
      <c r="G20" s="92"/>
      <c r="H20" s="93" t="s">
        <v>46</v>
      </c>
      <c r="I20" s="84"/>
      <c r="J20" s="46" t="s">
        <v>275</v>
      </c>
      <c r="K20" s="116" t="s">
        <v>276</v>
      </c>
      <c r="L20" s="49" t="s">
        <v>67</v>
      </c>
      <c r="M20" s="49">
        <v>19.0</v>
      </c>
      <c r="N20" s="51">
        <f t="shared" si="1"/>
        <v>19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5.75" customHeight="1">
      <c r="A21" s="1">
        <v>20.0</v>
      </c>
      <c r="B21" s="35" t="s">
        <v>69</v>
      </c>
      <c r="C21" s="90" t="s">
        <v>277</v>
      </c>
      <c r="D21" s="62" t="s">
        <v>177</v>
      </c>
      <c r="E21" s="62" t="s">
        <v>273</v>
      </c>
      <c r="F21" s="115" t="s">
        <v>79</v>
      </c>
      <c r="G21" s="92"/>
      <c r="H21" s="93" t="s">
        <v>46</v>
      </c>
      <c r="I21" s="84"/>
      <c r="J21" s="46" t="s">
        <v>279</v>
      </c>
      <c r="K21" s="117" t="s">
        <v>280</v>
      </c>
      <c r="L21" s="118"/>
      <c r="M21" s="118" t="s">
        <v>281</v>
      </c>
      <c r="N21" s="51">
        <f t="shared" si="1"/>
        <v>0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5.75" customHeight="1">
      <c r="A22" s="1">
        <v>21.0</v>
      </c>
      <c r="B22" s="35" t="s">
        <v>69</v>
      </c>
      <c r="C22" s="90" t="s">
        <v>282</v>
      </c>
      <c r="D22" s="62" t="s">
        <v>177</v>
      </c>
      <c r="E22" s="62" t="s">
        <v>273</v>
      </c>
      <c r="F22" s="115" t="s">
        <v>79</v>
      </c>
      <c r="G22" s="92"/>
      <c r="H22" s="93" t="s">
        <v>46</v>
      </c>
      <c r="I22" s="84"/>
      <c r="J22" s="46" t="s">
        <v>283</v>
      </c>
      <c r="K22" s="120" t="s">
        <v>284</v>
      </c>
      <c r="L22" s="118"/>
      <c r="M22" s="118" t="s">
        <v>281</v>
      </c>
      <c r="N22" s="51">
        <f t="shared" si="1"/>
        <v>0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5.75" customHeight="1">
      <c r="A23" s="1">
        <v>22.0</v>
      </c>
      <c r="B23" s="35" t="s">
        <v>69</v>
      </c>
      <c r="C23" s="90" t="s">
        <v>286</v>
      </c>
      <c r="D23" s="62" t="s">
        <v>177</v>
      </c>
      <c r="E23" s="62" t="s">
        <v>273</v>
      </c>
      <c r="F23" s="115" t="s">
        <v>79</v>
      </c>
      <c r="G23" s="92"/>
      <c r="H23" s="93" t="s">
        <v>46</v>
      </c>
      <c r="I23" s="84"/>
      <c r="J23" s="46" t="s">
        <v>287</v>
      </c>
      <c r="K23" s="120" t="s">
        <v>288</v>
      </c>
      <c r="L23" s="66"/>
      <c r="M23" s="66" t="s">
        <v>281</v>
      </c>
      <c r="N23" s="51">
        <f t="shared" si="1"/>
        <v>0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5.75" customHeight="1">
      <c r="A24" s="1">
        <v>23.0</v>
      </c>
      <c r="B24" s="35" t="s">
        <v>69</v>
      </c>
      <c r="C24" s="90" t="s">
        <v>289</v>
      </c>
      <c r="D24" s="62" t="s">
        <v>177</v>
      </c>
      <c r="E24" s="62" t="s">
        <v>273</v>
      </c>
      <c r="F24" s="62" t="s">
        <v>79</v>
      </c>
      <c r="G24" s="92"/>
      <c r="H24" s="93" t="s">
        <v>46</v>
      </c>
      <c r="I24" s="84"/>
      <c r="J24" s="46" t="s">
        <v>290</v>
      </c>
      <c r="K24" s="120" t="s">
        <v>291</v>
      </c>
      <c r="L24" s="49" t="s">
        <v>71</v>
      </c>
      <c r="M24" s="118">
        <v>6.0</v>
      </c>
      <c r="N24" s="51">
        <f t="shared" si="1"/>
        <v>6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5.75" customHeight="1">
      <c r="A25" s="1">
        <v>24.0</v>
      </c>
      <c r="B25" s="35" t="s">
        <v>69</v>
      </c>
      <c r="C25" s="75" t="s">
        <v>293</v>
      </c>
      <c r="D25" s="32"/>
      <c r="E25" s="32"/>
      <c r="F25" s="40" t="s">
        <v>162</v>
      </c>
      <c r="G25" s="32"/>
      <c r="H25" s="123" t="s">
        <v>48</v>
      </c>
      <c r="I25" s="84"/>
      <c r="J25" s="46" t="s">
        <v>294</v>
      </c>
      <c r="K25" s="120" t="s">
        <v>295</v>
      </c>
      <c r="L25" s="49" t="s">
        <v>72</v>
      </c>
      <c r="M25" s="66">
        <v>6.0</v>
      </c>
      <c r="N25" s="51">
        <f t="shared" si="1"/>
        <v>6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5.75" customHeight="1">
      <c r="A26" s="1">
        <v>25.0</v>
      </c>
      <c r="B26" s="35" t="s">
        <v>69</v>
      </c>
      <c r="C26" s="75" t="s">
        <v>293</v>
      </c>
      <c r="D26" s="32"/>
      <c r="E26" s="32"/>
      <c r="F26" s="40" t="s">
        <v>162</v>
      </c>
      <c r="G26" s="32"/>
      <c r="H26" s="123" t="s">
        <v>48</v>
      </c>
      <c r="I26" s="84"/>
      <c r="J26" s="46" t="s">
        <v>297</v>
      </c>
      <c r="K26" s="125" t="s">
        <v>298</v>
      </c>
      <c r="L26" s="49" t="s">
        <v>75</v>
      </c>
      <c r="M26" s="49">
        <v>5.0</v>
      </c>
      <c r="N26" s="51">
        <f t="shared" si="1"/>
        <v>5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5.75" customHeight="1">
      <c r="A27" s="1">
        <v>26.0</v>
      </c>
      <c r="B27" s="35" t="s">
        <v>69</v>
      </c>
      <c r="C27" s="75" t="s">
        <v>293</v>
      </c>
      <c r="D27" s="32"/>
      <c r="E27" s="32"/>
      <c r="F27" s="40" t="s">
        <v>162</v>
      </c>
      <c r="G27" s="32"/>
      <c r="H27" s="123" t="s">
        <v>48</v>
      </c>
      <c r="I27" s="84"/>
      <c r="J27" s="46" t="s">
        <v>299</v>
      </c>
      <c r="K27" s="125" t="s">
        <v>300</v>
      </c>
      <c r="L27" s="49" t="s">
        <v>77</v>
      </c>
      <c r="M27" s="49">
        <v>5.0</v>
      </c>
      <c r="N27" s="51">
        <f t="shared" si="1"/>
        <v>5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5.75" customHeight="1">
      <c r="A28" s="1">
        <v>27.0</v>
      </c>
      <c r="B28" s="35" t="s">
        <v>69</v>
      </c>
      <c r="C28" s="75" t="s">
        <v>293</v>
      </c>
      <c r="D28" s="32"/>
      <c r="E28" s="32"/>
      <c r="F28" s="40" t="s">
        <v>162</v>
      </c>
      <c r="G28" s="32"/>
      <c r="H28" s="123" t="s">
        <v>48</v>
      </c>
      <c r="I28" s="84"/>
      <c r="J28" s="46" t="s">
        <v>304</v>
      </c>
      <c r="K28" s="132" t="s">
        <v>305</v>
      </c>
      <c r="L28" s="49" t="s">
        <v>80</v>
      </c>
      <c r="M28" s="66">
        <v>2.0</v>
      </c>
      <c r="N28" s="51">
        <f t="shared" si="1"/>
        <v>2</v>
      </c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5.75" customHeight="1">
      <c r="A29" s="1">
        <v>28.0</v>
      </c>
      <c r="B29" s="35" t="s">
        <v>69</v>
      </c>
      <c r="C29" s="134" t="s">
        <v>293</v>
      </c>
      <c r="D29" s="92"/>
      <c r="E29" s="92"/>
      <c r="F29" s="62" t="s">
        <v>162</v>
      </c>
      <c r="G29" s="92"/>
      <c r="H29" s="133" t="s">
        <v>49</v>
      </c>
      <c r="I29" s="84"/>
      <c r="J29" s="46" t="s">
        <v>306</v>
      </c>
      <c r="K29" s="136" t="s">
        <v>307</v>
      </c>
      <c r="L29" s="49" t="s">
        <v>81</v>
      </c>
      <c r="M29" s="49">
        <v>6.0</v>
      </c>
      <c r="N29" s="51">
        <f t="shared" si="1"/>
        <v>6</v>
      </c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5.75" customHeight="1">
      <c r="A30" s="1">
        <v>29.0</v>
      </c>
      <c r="B30" s="35" t="s">
        <v>69</v>
      </c>
      <c r="C30" s="134" t="s">
        <v>293</v>
      </c>
      <c r="D30" s="92"/>
      <c r="E30" s="92"/>
      <c r="F30" s="62" t="s">
        <v>162</v>
      </c>
      <c r="G30" s="92"/>
      <c r="H30" s="133" t="s">
        <v>49</v>
      </c>
      <c r="I30" s="84"/>
      <c r="J30" s="46" t="s">
        <v>308</v>
      </c>
      <c r="K30" s="138" t="s">
        <v>309</v>
      </c>
      <c r="L30" s="49" t="s">
        <v>83</v>
      </c>
      <c r="M30" s="49">
        <v>6.0</v>
      </c>
      <c r="N30" s="51">
        <f t="shared" si="1"/>
        <v>6</v>
      </c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5.75" customHeight="1">
      <c r="A31" s="1">
        <v>30.0</v>
      </c>
      <c r="B31" s="35" t="s">
        <v>69</v>
      </c>
      <c r="C31" s="134" t="s">
        <v>293</v>
      </c>
      <c r="D31" s="92"/>
      <c r="E31" s="92"/>
      <c r="F31" s="115" t="s">
        <v>162</v>
      </c>
      <c r="G31" s="92"/>
      <c r="H31" s="133" t="s">
        <v>49</v>
      </c>
      <c r="I31" s="84"/>
      <c r="J31" s="46" t="s">
        <v>310</v>
      </c>
      <c r="K31" s="138" t="s">
        <v>311</v>
      </c>
      <c r="L31" s="49" t="s">
        <v>85</v>
      </c>
      <c r="M31" s="139" t="s">
        <v>160</v>
      </c>
      <c r="N31" s="51">
        <f t="shared" si="1"/>
        <v>6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5.75" customHeight="1">
      <c r="A32" s="1">
        <v>31.0</v>
      </c>
      <c r="B32" s="35" t="s">
        <v>69</v>
      </c>
      <c r="C32" s="134" t="s">
        <v>293</v>
      </c>
      <c r="D32" s="92"/>
      <c r="E32" s="92"/>
      <c r="F32" s="62" t="s">
        <v>162</v>
      </c>
      <c r="G32" s="92"/>
      <c r="H32" s="133" t="s">
        <v>49</v>
      </c>
      <c r="I32" s="84"/>
      <c r="J32" s="46" t="s">
        <v>312</v>
      </c>
      <c r="K32" s="138" t="s">
        <v>313</v>
      </c>
      <c r="L32" s="49" t="s">
        <v>87</v>
      </c>
      <c r="M32" s="49">
        <v>6.0</v>
      </c>
      <c r="N32" s="51">
        <f t="shared" si="1"/>
        <v>6</v>
      </c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5.75" customHeight="1">
      <c r="A33" s="1">
        <v>32.0</v>
      </c>
      <c r="B33" s="35" t="s">
        <v>69</v>
      </c>
      <c r="C33" s="75" t="s">
        <v>293</v>
      </c>
      <c r="D33" s="141"/>
      <c r="E33" s="141"/>
      <c r="F33" s="40" t="s">
        <v>79</v>
      </c>
      <c r="G33" s="141"/>
      <c r="H33" s="123" t="s">
        <v>51</v>
      </c>
      <c r="I33" s="84"/>
      <c r="J33" s="46" t="s">
        <v>315</v>
      </c>
      <c r="K33" s="138" t="s">
        <v>316</v>
      </c>
      <c r="L33" s="49" t="s">
        <v>91</v>
      </c>
      <c r="M33" s="49">
        <v>30.0</v>
      </c>
      <c r="N33" s="51">
        <f t="shared" si="1"/>
        <v>30</v>
      </c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5.75" customHeight="1">
      <c r="A34" s="1">
        <v>33.0</v>
      </c>
      <c r="B34" s="35" t="s">
        <v>69</v>
      </c>
      <c r="C34" s="75" t="s">
        <v>293</v>
      </c>
      <c r="D34" s="141"/>
      <c r="E34" s="141"/>
      <c r="F34" s="40" t="s">
        <v>79</v>
      </c>
      <c r="G34" s="141"/>
      <c r="H34" s="123" t="s">
        <v>51</v>
      </c>
      <c r="I34" s="84"/>
      <c r="J34" s="46" t="s">
        <v>317</v>
      </c>
      <c r="K34" s="138" t="s">
        <v>318</v>
      </c>
      <c r="L34" s="49" t="s">
        <v>93</v>
      </c>
      <c r="M34" s="49">
        <v>6.0</v>
      </c>
      <c r="N34" s="51">
        <f t="shared" si="1"/>
        <v>6</v>
      </c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5.75" customHeight="1">
      <c r="A35" s="1">
        <v>34.0</v>
      </c>
      <c r="B35" s="35" t="s">
        <v>69</v>
      </c>
      <c r="C35" s="134" t="s">
        <v>293</v>
      </c>
      <c r="D35" s="143"/>
      <c r="E35" s="143"/>
      <c r="F35" s="62" t="s">
        <v>79</v>
      </c>
      <c r="G35" s="143"/>
      <c r="H35" s="133" t="s">
        <v>54</v>
      </c>
      <c r="I35" s="84"/>
      <c r="J35" s="145"/>
      <c r="K35" s="28"/>
      <c r="L35" s="72"/>
      <c r="M35" s="147">
        <f t="shared" ref="M35:N35" si="3">SUM(M2:M34)</f>
        <v>171</v>
      </c>
      <c r="N35" s="147">
        <f t="shared" si="3"/>
        <v>191</v>
      </c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5.75" customHeight="1">
      <c r="A36" s="1">
        <v>35.0</v>
      </c>
      <c r="B36" s="35" t="s">
        <v>69</v>
      </c>
      <c r="C36" s="134" t="s">
        <v>293</v>
      </c>
      <c r="D36" s="143"/>
      <c r="E36" s="143"/>
      <c r="F36" s="62" t="s">
        <v>79</v>
      </c>
      <c r="G36" s="143"/>
      <c r="H36" s="133" t="s">
        <v>54</v>
      </c>
      <c r="I36" s="84"/>
      <c r="J36" s="26"/>
      <c r="K36" s="148"/>
      <c r="L36" s="36"/>
      <c r="M36" s="36"/>
      <c r="N36" s="36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5.75" customHeight="1">
      <c r="A37" s="1">
        <v>36.0</v>
      </c>
      <c r="B37" s="35" t="s">
        <v>69</v>
      </c>
      <c r="C37" s="134" t="s">
        <v>293</v>
      </c>
      <c r="D37" s="143"/>
      <c r="E37" s="143"/>
      <c r="F37" s="62" t="s">
        <v>79</v>
      </c>
      <c r="G37" s="143"/>
      <c r="H37" s="133" t="s">
        <v>54</v>
      </c>
      <c r="I37" s="84"/>
      <c r="J37" s="26"/>
      <c r="K37" s="28"/>
      <c r="L37" s="72"/>
      <c r="M37" s="151"/>
      <c r="N37" s="51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5.75" customHeight="1">
      <c r="A38" s="1">
        <v>37.0</v>
      </c>
      <c r="B38" s="35" t="s">
        <v>69</v>
      </c>
      <c r="C38" s="134" t="s">
        <v>293</v>
      </c>
      <c r="D38" s="143"/>
      <c r="E38" s="143"/>
      <c r="F38" s="115" t="s">
        <v>79</v>
      </c>
      <c r="G38" s="143"/>
      <c r="H38" s="133" t="s">
        <v>54</v>
      </c>
      <c r="I38" s="84"/>
      <c r="J38" s="26"/>
      <c r="K38" s="28"/>
      <c r="L38" s="72"/>
      <c r="M38" s="72"/>
      <c r="N38" s="51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5.75" customHeight="1">
      <c r="A39" s="1">
        <v>38.0</v>
      </c>
      <c r="B39" s="35" t="s">
        <v>69</v>
      </c>
      <c r="C39" s="75" t="s">
        <v>293</v>
      </c>
      <c r="D39" s="141"/>
      <c r="E39" s="141"/>
      <c r="F39" s="40" t="s">
        <v>79</v>
      </c>
      <c r="G39" s="141"/>
      <c r="H39" s="123" t="s">
        <v>55</v>
      </c>
      <c r="I39" s="39"/>
      <c r="J39" s="26"/>
      <c r="K39" s="28"/>
      <c r="L39" s="72"/>
      <c r="M39" s="72"/>
      <c r="N39" s="51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5.75" customHeight="1">
      <c r="A40" s="1">
        <v>39.0</v>
      </c>
      <c r="B40" s="35" t="s">
        <v>69</v>
      </c>
      <c r="C40" s="75" t="s">
        <v>293</v>
      </c>
      <c r="D40" s="141"/>
      <c r="E40" s="141"/>
      <c r="F40" s="40" t="s">
        <v>79</v>
      </c>
      <c r="G40" s="141"/>
      <c r="H40" s="123" t="s">
        <v>55</v>
      </c>
      <c r="I40" s="39"/>
      <c r="J40" s="26"/>
      <c r="K40" s="148" t="s">
        <v>320</v>
      </c>
      <c r="L40" s="72"/>
      <c r="M40" s="72"/>
      <c r="N40" s="51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5.75" customHeight="1">
      <c r="A41" s="1">
        <v>40.0</v>
      </c>
      <c r="B41" s="35" t="s">
        <v>69</v>
      </c>
      <c r="C41" s="75" t="s">
        <v>293</v>
      </c>
      <c r="D41" s="141"/>
      <c r="E41" s="141"/>
      <c r="F41" s="40" t="s">
        <v>79</v>
      </c>
      <c r="G41" s="141"/>
      <c r="H41" s="123" t="s">
        <v>55</v>
      </c>
      <c r="I41" s="39"/>
      <c r="J41" s="26"/>
      <c r="K41" s="148" t="s">
        <v>321</v>
      </c>
      <c r="L41" s="72"/>
      <c r="M41" s="72"/>
      <c r="N41" s="51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5.75" customHeight="1">
      <c r="A42" s="1">
        <v>41.0</v>
      </c>
      <c r="B42" s="35" t="s">
        <v>69</v>
      </c>
      <c r="C42" s="75" t="s">
        <v>293</v>
      </c>
      <c r="D42" s="141"/>
      <c r="E42" s="141"/>
      <c r="F42" s="40" t="s">
        <v>79</v>
      </c>
      <c r="G42" s="141"/>
      <c r="H42" s="123" t="s">
        <v>55</v>
      </c>
      <c r="I42" s="39"/>
      <c r="J42" s="26"/>
      <c r="K42" s="28"/>
      <c r="L42" s="72"/>
      <c r="M42" s="72"/>
      <c r="N42" s="51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5.75" customHeight="1">
      <c r="A43" s="1">
        <v>42.0</v>
      </c>
      <c r="B43" s="35" t="s">
        <v>69</v>
      </c>
      <c r="C43" s="75" t="s">
        <v>293</v>
      </c>
      <c r="D43" s="141"/>
      <c r="E43" s="141"/>
      <c r="F43" s="40" t="s">
        <v>79</v>
      </c>
      <c r="G43" s="141"/>
      <c r="H43" s="123" t="s">
        <v>55</v>
      </c>
      <c r="I43" s="39"/>
      <c r="J43" s="26"/>
      <c r="K43" s="28"/>
      <c r="L43" s="72"/>
      <c r="M43" s="72"/>
      <c r="N43" s="51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5.75" customHeight="1">
      <c r="A44" s="1">
        <v>43.0</v>
      </c>
      <c r="B44" s="16" t="s">
        <v>69</v>
      </c>
      <c r="C44" s="34" t="s">
        <v>293</v>
      </c>
      <c r="D44" s="16"/>
      <c r="E44" s="16"/>
      <c r="F44" s="20" t="s">
        <v>79</v>
      </c>
      <c r="G44" s="16"/>
      <c r="H44" s="20" t="s">
        <v>56</v>
      </c>
      <c r="I44" s="39"/>
      <c r="J44" s="26"/>
      <c r="K44" s="28"/>
      <c r="L44" s="72"/>
      <c r="M44" s="72"/>
      <c r="N44" s="51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5.75" customHeight="1">
      <c r="A45" s="1">
        <v>44.0</v>
      </c>
      <c r="B45" s="16" t="s">
        <v>69</v>
      </c>
      <c r="C45" s="34" t="s">
        <v>293</v>
      </c>
      <c r="D45" s="16"/>
      <c r="E45" s="16"/>
      <c r="F45" s="20" t="s">
        <v>79</v>
      </c>
      <c r="G45" s="16"/>
      <c r="H45" s="20" t="s">
        <v>56</v>
      </c>
      <c r="I45" s="39"/>
      <c r="J45" s="26"/>
      <c r="K45" s="28"/>
      <c r="L45" s="72"/>
      <c r="M45" s="72"/>
      <c r="N45" s="51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5.75" customHeight="1">
      <c r="A46" s="1">
        <v>45.0</v>
      </c>
      <c r="B46" s="16" t="s">
        <v>69</v>
      </c>
      <c r="C46" s="34" t="s">
        <v>293</v>
      </c>
      <c r="D46" s="16"/>
      <c r="E46" s="16"/>
      <c r="F46" s="20" t="s">
        <v>79</v>
      </c>
      <c r="G46" s="16"/>
      <c r="H46" s="20" t="s">
        <v>56</v>
      </c>
      <c r="I46" s="39"/>
      <c r="J46" s="26"/>
      <c r="K46" s="28"/>
      <c r="L46" s="72"/>
      <c r="M46" s="72"/>
      <c r="N46" s="51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5.75" customHeight="1">
      <c r="A47" s="1">
        <v>46.0</v>
      </c>
      <c r="B47" s="16" t="s">
        <v>69</v>
      </c>
      <c r="C47" s="75" t="s">
        <v>293</v>
      </c>
      <c r="D47" s="141"/>
      <c r="E47" s="141"/>
      <c r="F47" s="40" t="s">
        <v>79</v>
      </c>
      <c r="G47" s="141"/>
      <c r="H47" s="123" t="s">
        <v>57</v>
      </c>
      <c r="I47" s="39"/>
      <c r="J47" s="26"/>
      <c r="K47" s="28"/>
      <c r="L47" s="72"/>
      <c r="M47" s="72"/>
      <c r="N47" s="51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5.75" customHeight="1">
      <c r="A48" s="1">
        <v>47.0</v>
      </c>
      <c r="B48" s="16" t="s">
        <v>69</v>
      </c>
      <c r="C48" s="75" t="s">
        <v>293</v>
      </c>
      <c r="D48" s="141"/>
      <c r="E48" s="141"/>
      <c r="F48" s="40" t="s">
        <v>79</v>
      </c>
      <c r="G48" s="141"/>
      <c r="H48" s="123" t="s">
        <v>57</v>
      </c>
      <c r="I48" s="39"/>
      <c r="J48" s="26"/>
      <c r="K48" s="28"/>
      <c r="L48" s="72"/>
      <c r="M48" s="72"/>
      <c r="N48" s="51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5.75" customHeight="1">
      <c r="A49" s="1">
        <v>48.0</v>
      </c>
      <c r="B49" s="16" t="s">
        <v>69</v>
      </c>
      <c r="C49" s="75" t="s">
        <v>293</v>
      </c>
      <c r="D49" s="141"/>
      <c r="E49" s="141"/>
      <c r="F49" s="40" t="s">
        <v>79</v>
      </c>
      <c r="G49" s="141"/>
      <c r="H49" s="123" t="s">
        <v>57</v>
      </c>
      <c r="I49" s="39"/>
      <c r="J49" s="26"/>
      <c r="K49" s="28"/>
      <c r="L49" s="72"/>
      <c r="M49" s="72"/>
      <c r="N49" s="51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5.75" customHeight="1">
      <c r="A50" s="1">
        <v>49.0</v>
      </c>
      <c r="B50" s="16" t="s">
        <v>69</v>
      </c>
      <c r="C50" s="75" t="s">
        <v>293</v>
      </c>
      <c r="D50" s="141"/>
      <c r="E50" s="141"/>
      <c r="F50" s="40" t="s">
        <v>79</v>
      </c>
      <c r="G50" s="141"/>
      <c r="H50" s="123" t="s">
        <v>57</v>
      </c>
      <c r="I50" s="39"/>
      <c r="J50" s="26"/>
      <c r="K50" s="28"/>
      <c r="L50" s="72"/>
      <c r="M50" s="72"/>
      <c r="N50" s="51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5.75" customHeight="1">
      <c r="A51" s="1">
        <v>50.0</v>
      </c>
      <c r="B51" s="16" t="s">
        <v>69</v>
      </c>
      <c r="C51" s="75" t="s">
        <v>293</v>
      </c>
      <c r="D51" s="141"/>
      <c r="E51" s="141"/>
      <c r="F51" s="40" t="s">
        <v>79</v>
      </c>
      <c r="G51" s="141"/>
      <c r="H51" s="123" t="s">
        <v>57</v>
      </c>
      <c r="I51" s="39"/>
      <c r="J51" s="26"/>
      <c r="K51" s="28"/>
      <c r="L51" s="72"/>
      <c r="M51" s="72"/>
      <c r="N51" s="51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5.75" customHeight="1">
      <c r="A52" s="1">
        <v>51.0</v>
      </c>
      <c r="B52" s="16" t="s">
        <v>69</v>
      </c>
      <c r="C52" s="34" t="s">
        <v>293</v>
      </c>
      <c r="D52" s="91"/>
      <c r="E52" s="91"/>
      <c r="F52" s="115" t="s">
        <v>79</v>
      </c>
      <c r="G52" s="91"/>
      <c r="H52" s="133" t="s">
        <v>59</v>
      </c>
      <c r="I52" s="39"/>
      <c r="J52" s="26"/>
      <c r="K52" s="28"/>
      <c r="L52" s="72"/>
      <c r="M52" s="72"/>
      <c r="N52" s="51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5.75" customHeight="1">
      <c r="A53" s="1">
        <v>52.0</v>
      </c>
      <c r="B53" s="16" t="s">
        <v>69</v>
      </c>
      <c r="C53" s="34" t="s">
        <v>293</v>
      </c>
      <c r="D53" s="91"/>
      <c r="E53" s="91"/>
      <c r="F53" s="115" t="s">
        <v>79</v>
      </c>
      <c r="G53" s="91"/>
      <c r="H53" s="133" t="s">
        <v>59</v>
      </c>
      <c r="I53" s="39"/>
      <c r="J53" s="26"/>
      <c r="K53" s="28"/>
      <c r="L53" s="72"/>
      <c r="M53" s="72"/>
      <c r="N53" s="51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5.75" customHeight="1">
      <c r="A54" s="1">
        <v>53.0</v>
      </c>
      <c r="B54" s="16" t="s">
        <v>69</v>
      </c>
      <c r="C54" s="34" t="s">
        <v>293</v>
      </c>
      <c r="D54" s="91"/>
      <c r="E54" s="91"/>
      <c r="F54" s="115" t="s">
        <v>79</v>
      </c>
      <c r="G54" s="91"/>
      <c r="H54" s="133" t="s">
        <v>59</v>
      </c>
      <c r="I54" s="39"/>
      <c r="J54" s="26"/>
      <c r="K54" s="28"/>
      <c r="L54" s="72"/>
      <c r="M54" s="72"/>
      <c r="N54" s="51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5.75" customHeight="1">
      <c r="A55" s="1">
        <v>54.0</v>
      </c>
      <c r="B55" s="16" t="s">
        <v>69</v>
      </c>
      <c r="C55" s="34" t="s">
        <v>293</v>
      </c>
      <c r="D55" s="91"/>
      <c r="E55" s="91"/>
      <c r="F55" s="115" t="s">
        <v>162</v>
      </c>
      <c r="G55" s="91"/>
      <c r="H55" s="133" t="s">
        <v>59</v>
      </c>
      <c r="I55" s="39"/>
      <c r="J55" s="26"/>
      <c r="K55" s="28"/>
      <c r="L55" s="72"/>
      <c r="M55" s="72"/>
      <c r="N55" s="51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5.75" customHeight="1">
      <c r="A56" s="1">
        <v>55.0</v>
      </c>
      <c r="B56" s="16" t="s">
        <v>69</v>
      </c>
      <c r="C56" s="75" t="s">
        <v>340</v>
      </c>
      <c r="D56" s="40" t="s">
        <v>45</v>
      </c>
      <c r="E56" s="40" t="s">
        <v>341</v>
      </c>
      <c r="F56" s="109" t="s">
        <v>79</v>
      </c>
      <c r="G56" s="32"/>
      <c r="H56" s="40" t="s">
        <v>61</v>
      </c>
      <c r="I56" s="39"/>
      <c r="J56" s="26"/>
      <c r="K56" s="28"/>
      <c r="L56" s="72"/>
      <c r="M56" s="72"/>
      <c r="N56" s="51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5.75" customHeight="1">
      <c r="A57" s="1">
        <v>56.0</v>
      </c>
      <c r="B57" s="16" t="s">
        <v>69</v>
      </c>
      <c r="C57" s="75" t="s">
        <v>342</v>
      </c>
      <c r="D57" s="40" t="s">
        <v>45</v>
      </c>
      <c r="E57" s="40" t="s">
        <v>341</v>
      </c>
      <c r="F57" s="40" t="s">
        <v>79</v>
      </c>
      <c r="G57" s="32"/>
      <c r="H57" s="40" t="s">
        <v>61</v>
      </c>
      <c r="I57" s="163" t="s">
        <v>343</v>
      </c>
      <c r="J57" s="46" t="s">
        <v>344</v>
      </c>
      <c r="K57" s="148" t="s">
        <v>345</v>
      </c>
      <c r="L57" s="36" t="s">
        <v>346</v>
      </c>
      <c r="M57" s="36" t="s">
        <v>347</v>
      </c>
      <c r="N57" s="51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5.75" customHeight="1">
      <c r="A58" s="1">
        <v>57.0</v>
      </c>
      <c r="B58" s="16" t="s">
        <v>69</v>
      </c>
      <c r="C58" s="75" t="s">
        <v>348</v>
      </c>
      <c r="D58" s="40" t="s">
        <v>177</v>
      </c>
      <c r="E58" s="40" t="s">
        <v>273</v>
      </c>
      <c r="F58" s="40" t="s">
        <v>79</v>
      </c>
      <c r="G58" s="32"/>
      <c r="H58" s="40" t="s">
        <v>61</v>
      </c>
      <c r="I58" s="39"/>
      <c r="J58" s="26"/>
      <c r="K58" s="28"/>
      <c r="L58" s="72"/>
      <c r="M58" s="72"/>
      <c r="N58" s="51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5.75" customHeight="1">
      <c r="A59" s="1">
        <v>58.0</v>
      </c>
      <c r="B59" s="16" t="s">
        <v>69</v>
      </c>
      <c r="C59" s="75" t="s">
        <v>349</v>
      </c>
      <c r="D59" s="40" t="s">
        <v>177</v>
      </c>
      <c r="E59" s="40" t="s">
        <v>350</v>
      </c>
      <c r="F59" s="40" t="s">
        <v>79</v>
      </c>
      <c r="G59" s="32"/>
      <c r="H59" s="40" t="s">
        <v>61</v>
      </c>
      <c r="I59" s="39"/>
      <c r="J59" s="26"/>
      <c r="K59" s="28"/>
      <c r="L59" s="72"/>
      <c r="M59" s="72"/>
      <c r="N59" s="51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5.75" customHeight="1">
      <c r="A60" s="1">
        <v>59.0</v>
      </c>
      <c r="B60" s="16" t="s">
        <v>69</v>
      </c>
      <c r="C60" s="166" t="s">
        <v>351</v>
      </c>
      <c r="D60" s="62" t="s">
        <v>177</v>
      </c>
      <c r="E60" s="62" t="s">
        <v>352</v>
      </c>
      <c r="F60" s="62" t="s">
        <v>79</v>
      </c>
      <c r="G60" s="92"/>
      <c r="H60" s="62" t="s">
        <v>62</v>
      </c>
      <c r="I60" s="39"/>
      <c r="J60" s="26"/>
      <c r="K60" s="28"/>
      <c r="L60" s="72"/>
      <c r="M60" s="72"/>
      <c r="N60" s="51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5.75" customHeight="1">
      <c r="A61" s="1">
        <v>60.0</v>
      </c>
      <c r="B61" s="16" t="s">
        <v>69</v>
      </c>
      <c r="C61" s="166" t="s">
        <v>354</v>
      </c>
      <c r="D61" s="62" t="s">
        <v>177</v>
      </c>
      <c r="E61" s="62" t="s">
        <v>355</v>
      </c>
      <c r="F61" s="62" t="s">
        <v>79</v>
      </c>
      <c r="G61" s="92"/>
      <c r="H61" s="62" t="s">
        <v>62</v>
      </c>
      <c r="I61" s="39"/>
      <c r="J61" s="26"/>
      <c r="K61" s="28"/>
      <c r="L61" s="72"/>
      <c r="M61" s="72"/>
      <c r="N61" s="51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5.75" customHeight="1">
      <c r="A62" s="1">
        <v>61.0</v>
      </c>
      <c r="B62" s="16" t="s">
        <v>69</v>
      </c>
      <c r="C62" s="172" t="s">
        <v>359</v>
      </c>
      <c r="D62" s="62" t="s">
        <v>45</v>
      </c>
      <c r="E62" s="62" t="s">
        <v>360</v>
      </c>
      <c r="F62" s="62" t="s">
        <v>79</v>
      </c>
      <c r="G62" s="92"/>
      <c r="H62" s="62" t="s">
        <v>62</v>
      </c>
      <c r="I62" s="39"/>
      <c r="J62" s="26"/>
      <c r="K62" s="28"/>
      <c r="L62" s="72"/>
      <c r="M62" s="72"/>
      <c r="N62" s="51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5.75" customHeight="1">
      <c r="A63" s="1">
        <v>62.0</v>
      </c>
      <c r="B63" s="16" t="s">
        <v>69</v>
      </c>
      <c r="C63" s="34" t="s">
        <v>363</v>
      </c>
      <c r="D63" s="62" t="s">
        <v>45</v>
      </c>
      <c r="E63" s="62" t="s">
        <v>360</v>
      </c>
      <c r="F63" s="62" t="s">
        <v>79</v>
      </c>
      <c r="G63" s="92"/>
      <c r="H63" s="62" t="s">
        <v>62</v>
      </c>
      <c r="I63" s="39"/>
      <c r="J63" s="26"/>
      <c r="K63" s="28"/>
      <c r="L63" s="72"/>
      <c r="M63" s="72"/>
      <c r="N63" s="51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5.75" customHeight="1">
      <c r="A64" s="1">
        <v>63.0</v>
      </c>
      <c r="B64" s="16" t="s">
        <v>69</v>
      </c>
      <c r="C64" s="34" t="s">
        <v>367</v>
      </c>
      <c r="D64" s="62" t="s">
        <v>45</v>
      </c>
      <c r="E64" s="62" t="s">
        <v>360</v>
      </c>
      <c r="F64" s="62" t="s">
        <v>79</v>
      </c>
      <c r="G64" s="92"/>
      <c r="H64" s="62" t="s">
        <v>62</v>
      </c>
      <c r="I64" s="39"/>
      <c r="J64" s="26"/>
      <c r="K64" s="28"/>
      <c r="L64" s="72"/>
      <c r="M64" s="72"/>
      <c r="N64" s="51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5.75" customHeight="1">
      <c r="A65" s="1">
        <v>64.0</v>
      </c>
      <c r="B65" s="16" t="s">
        <v>69</v>
      </c>
      <c r="C65" s="75" t="s">
        <v>371</v>
      </c>
      <c r="D65" s="32"/>
      <c r="E65" s="40" t="s">
        <v>372</v>
      </c>
      <c r="F65" s="40" t="s">
        <v>162</v>
      </c>
      <c r="G65" s="32"/>
      <c r="H65" s="40" t="s">
        <v>63</v>
      </c>
      <c r="I65" s="39"/>
      <c r="J65" s="26"/>
      <c r="K65" s="28"/>
      <c r="L65" s="72"/>
      <c r="M65" s="72"/>
      <c r="N65" s="51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5.75" customHeight="1">
      <c r="A66" s="1">
        <v>65.0</v>
      </c>
      <c r="B66" s="16" t="s">
        <v>69</v>
      </c>
      <c r="C66" s="75" t="s">
        <v>375</v>
      </c>
      <c r="D66" s="32"/>
      <c r="E66" s="40" t="s">
        <v>372</v>
      </c>
      <c r="F66" s="40" t="s">
        <v>162</v>
      </c>
      <c r="G66" s="32"/>
      <c r="H66" s="40" t="s">
        <v>63</v>
      </c>
      <c r="I66" s="39"/>
      <c r="J66" s="26"/>
      <c r="K66" s="28"/>
      <c r="L66" s="72"/>
      <c r="M66" s="72"/>
      <c r="N66" s="51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5.75" customHeight="1">
      <c r="A67" s="1">
        <v>66.0</v>
      </c>
      <c r="B67" s="16" t="s">
        <v>69</v>
      </c>
      <c r="C67" s="75" t="s">
        <v>377</v>
      </c>
      <c r="D67" s="32"/>
      <c r="E67" s="40" t="s">
        <v>372</v>
      </c>
      <c r="F67" s="40" t="s">
        <v>162</v>
      </c>
      <c r="G67" s="32"/>
      <c r="H67" s="40" t="s">
        <v>63</v>
      </c>
      <c r="I67" s="39"/>
      <c r="J67" s="26"/>
      <c r="K67" s="28"/>
      <c r="L67" s="72"/>
      <c r="M67" s="72"/>
      <c r="N67" s="51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5.75" customHeight="1">
      <c r="A68" s="1">
        <v>67.0</v>
      </c>
      <c r="B68" s="16" t="s">
        <v>69</v>
      </c>
      <c r="C68" s="75" t="s">
        <v>380</v>
      </c>
      <c r="D68" s="32"/>
      <c r="E68" s="40" t="s">
        <v>372</v>
      </c>
      <c r="F68" s="40" t="s">
        <v>162</v>
      </c>
      <c r="G68" s="32"/>
      <c r="H68" s="40" t="s">
        <v>63</v>
      </c>
      <c r="I68" s="39"/>
      <c r="J68" s="26"/>
      <c r="K68" s="28"/>
      <c r="L68" s="72"/>
      <c r="M68" s="72"/>
      <c r="N68" s="51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5.75" customHeight="1">
      <c r="A69" s="1">
        <v>68.0</v>
      </c>
      <c r="B69" s="16" t="s">
        <v>69</v>
      </c>
      <c r="C69" s="91"/>
      <c r="D69" s="91"/>
      <c r="E69" s="91"/>
      <c r="F69" s="62" t="s">
        <v>79</v>
      </c>
      <c r="G69" s="91"/>
      <c r="H69" s="133" t="s">
        <v>65</v>
      </c>
      <c r="I69" s="39"/>
      <c r="J69" s="26"/>
      <c r="K69" s="28"/>
      <c r="L69" s="72"/>
      <c r="M69" s="72"/>
      <c r="N69" s="51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5.75" customHeight="1">
      <c r="A70" s="1">
        <v>69.0</v>
      </c>
      <c r="B70" s="16" t="s">
        <v>69</v>
      </c>
      <c r="C70" s="91"/>
      <c r="D70" s="91"/>
      <c r="E70" s="91"/>
      <c r="F70" s="62" t="s">
        <v>79</v>
      </c>
      <c r="G70" s="91"/>
      <c r="H70" s="133" t="s">
        <v>65</v>
      </c>
      <c r="I70" s="39"/>
      <c r="J70" s="26"/>
      <c r="K70" s="28"/>
      <c r="L70" s="72"/>
      <c r="M70" s="72"/>
      <c r="N70" s="51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5.75" customHeight="1">
      <c r="A71" s="1">
        <v>70.0</v>
      </c>
      <c r="B71" s="16" t="s">
        <v>69</v>
      </c>
      <c r="C71" s="91"/>
      <c r="D71" s="91"/>
      <c r="E71" s="91"/>
      <c r="F71" s="62" t="s">
        <v>79</v>
      </c>
      <c r="G71" s="91"/>
      <c r="H71" s="133" t="s">
        <v>65</v>
      </c>
      <c r="I71" s="39"/>
      <c r="J71" s="26"/>
      <c r="K71" s="28"/>
      <c r="L71" s="72"/>
      <c r="M71" s="72"/>
      <c r="N71" s="51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5.75" customHeight="1">
      <c r="A72" s="1">
        <v>71.0</v>
      </c>
      <c r="B72" s="16" t="s">
        <v>69</v>
      </c>
      <c r="C72" s="91"/>
      <c r="D72" s="91"/>
      <c r="E72" s="91"/>
      <c r="F72" s="62" t="s">
        <v>79</v>
      </c>
      <c r="G72" s="91"/>
      <c r="H72" s="133" t="s">
        <v>65</v>
      </c>
      <c r="I72" s="39"/>
      <c r="J72" s="26"/>
      <c r="K72" s="28"/>
      <c r="L72" s="72"/>
      <c r="M72" s="72"/>
      <c r="N72" s="51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5.75" customHeight="1">
      <c r="A73" s="1">
        <v>72.0</v>
      </c>
      <c r="B73" s="16" t="s">
        <v>69</v>
      </c>
      <c r="C73" s="91"/>
      <c r="D73" s="91"/>
      <c r="E73" s="91"/>
      <c r="F73" s="62" t="s">
        <v>79</v>
      </c>
      <c r="G73" s="91"/>
      <c r="H73" s="133" t="s">
        <v>65</v>
      </c>
      <c r="I73" s="39"/>
      <c r="J73" s="26"/>
      <c r="K73" s="28"/>
      <c r="L73" s="72"/>
      <c r="M73" s="72"/>
      <c r="N73" s="51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5.75" customHeight="1">
      <c r="A74" s="1">
        <v>73.0</v>
      </c>
      <c r="B74" s="16" t="s">
        <v>69</v>
      </c>
      <c r="C74" s="91"/>
      <c r="D74" s="91"/>
      <c r="E74" s="91"/>
      <c r="F74" s="62" t="s">
        <v>79</v>
      </c>
      <c r="G74" s="91"/>
      <c r="H74" s="133" t="s">
        <v>65</v>
      </c>
      <c r="I74" s="39"/>
      <c r="J74" s="26"/>
      <c r="K74" s="28"/>
      <c r="L74" s="72"/>
      <c r="M74" s="72"/>
      <c r="N74" s="51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5.75" customHeight="1">
      <c r="A75" s="1">
        <v>74.0</v>
      </c>
      <c r="B75" s="16" t="s">
        <v>69</v>
      </c>
      <c r="C75" s="91"/>
      <c r="D75" s="91"/>
      <c r="E75" s="91"/>
      <c r="F75" s="62" t="s">
        <v>79</v>
      </c>
      <c r="G75" s="91"/>
      <c r="H75" s="133" t="s">
        <v>65</v>
      </c>
      <c r="I75" s="39"/>
      <c r="J75" s="26"/>
      <c r="K75" s="28"/>
      <c r="L75" s="72"/>
      <c r="M75" s="72"/>
      <c r="N75" s="51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5.75" customHeight="1">
      <c r="A76" s="1">
        <v>75.0</v>
      </c>
      <c r="B76" s="16" t="s">
        <v>69</v>
      </c>
      <c r="C76" s="75" t="s">
        <v>322</v>
      </c>
      <c r="D76" s="32"/>
      <c r="E76" s="32"/>
      <c r="F76" s="109" t="s">
        <v>79</v>
      </c>
      <c r="G76" s="32"/>
      <c r="H76" s="40" t="s">
        <v>66</v>
      </c>
      <c r="I76" s="39"/>
      <c r="J76" s="26"/>
      <c r="K76" s="28"/>
      <c r="L76" s="72"/>
      <c r="M76" s="72"/>
      <c r="N76" s="51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5.75" customHeight="1">
      <c r="A77" s="1">
        <v>76.0</v>
      </c>
      <c r="B77" s="16" t="s">
        <v>69</v>
      </c>
      <c r="C77" s="75" t="s">
        <v>323</v>
      </c>
      <c r="D77" s="32"/>
      <c r="E77" s="32"/>
      <c r="F77" s="109" t="s">
        <v>79</v>
      </c>
      <c r="G77" s="32"/>
      <c r="H77" s="40" t="s">
        <v>66</v>
      </c>
      <c r="I77" s="39"/>
      <c r="K77" s="28"/>
      <c r="L77" s="72"/>
      <c r="M77" s="72"/>
      <c r="N77" s="51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5.75" customHeight="1">
      <c r="A78" s="1">
        <v>77.0</v>
      </c>
      <c r="B78" s="16" t="s">
        <v>69</v>
      </c>
      <c r="C78" s="75" t="s">
        <v>324</v>
      </c>
      <c r="D78" s="32"/>
      <c r="E78" s="32"/>
      <c r="F78" s="109" t="s">
        <v>79</v>
      </c>
      <c r="G78" s="32"/>
      <c r="H78" s="40" t="s">
        <v>66</v>
      </c>
      <c r="I78" s="39"/>
      <c r="J78" s="26"/>
      <c r="K78" s="28"/>
      <c r="L78" s="72"/>
      <c r="M78" s="72"/>
      <c r="N78" s="51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5.75" customHeight="1">
      <c r="A79" s="1">
        <v>78.0</v>
      </c>
      <c r="B79" s="16" t="s">
        <v>69</v>
      </c>
      <c r="C79" s="75" t="s">
        <v>325</v>
      </c>
      <c r="D79" s="32"/>
      <c r="E79" s="32"/>
      <c r="F79" s="109" t="s">
        <v>79</v>
      </c>
      <c r="G79" s="32"/>
      <c r="H79" s="40" t="s">
        <v>66</v>
      </c>
      <c r="I79" s="39"/>
      <c r="J79" s="26"/>
      <c r="K79" s="28"/>
      <c r="L79" s="72"/>
      <c r="M79" s="72"/>
      <c r="N79" s="51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5.75" customHeight="1">
      <c r="A80" s="1">
        <v>79.0</v>
      </c>
      <c r="B80" s="16" t="s">
        <v>69</v>
      </c>
      <c r="C80" s="75" t="s">
        <v>326</v>
      </c>
      <c r="D80" s="32"/>
      <c r="E80" s="32"/>
      <c r="F80" s="109" t="s">
        <v>79</v>
      </c>
      <c r="G80" s="32"/>
      <c r="H80" s="40" t="s">
        <v>66</v>
      </c>
      <c r="I80" s="39"/>
      <c r="J80" s="26"/>
      <c r="K80" s="28"/>
      <c r="L80" s="72"/>
      <c r="M80" s="72"/>
      <c r="N80" s="51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5.75" customHeight="1">
      <c r="A81" s="1">
        <v>80.0</v>
      </c>
      <c r="B81" s="16" t="s">
        <v>69</v>
      </c>
      <c r="C81" s="75" t="s">
        <v>327</v>
      </c>
      <c r="D81" s="32"/>
      <c r="E81" s="32"/>
      <c r="F81" s="109" t="s">
        <v>79</v>
      </c>
      <c r="G81" s="32"/>
      <c r="H81" s="40" t="s">
        <v>66</v>
      </c>
      <c r="I81" s="39"/>
      <c r="J81" s="26"/>
      <c r="K81" s="28"/>
      <c r="L81" s="72"/>
      <c r="M81" s="72"/>
      <c r="N81" s="51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5.75" customHeight="1">
      <c r="A82" s="1">
        <v>81.0</v>
      </c>
      <c r="B82" s="16" t="s">
        <v>69</v>
      </c>
      <c r="C82" s="75" t="s">
        <v>329</v>
      </c>
      <c r="D82" s="32"/>
      <c r="E82" s="32"/>
      <c r="F82" s="109" t="s">
        <v>79</v>
      </c>
      <c r="G82" s="32"/>
      <c r="H82" s="40" t="s">
        <v>66</v>
      </c>
      <c r="I82" s="39"/>
      <c r="J82" s="26"/>
      <c r="K82" s="28"/>
      <c r="L82" s="72"/>
      <c r="M82" s="72"/>
      <c r="N82" s="51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5.75" customHeight="1">
      <c r="A83" s="1">
        <v>82.0</v>
      </c>
      <c r="B83" s="16" t="s">
        <v>69</v>
      </c>
      <c r="C83" s="75" t="s">
        <v>330</v>
      </c>
      <c r="D83" s="32"/>
      <c r="E83" s="32"/>
      <c r="F83" s="109" t="s">
        <v>79</v>
      </c>
      <c r="G83" s="32"/>
      <c r="H83" s="40" t="s">
        <v>66</v>
      </c>
      <c r="I83" s="39"/>
      <c r="J83" s="26"/>
      <c r="K83" s="28"/>
      <c r="L83" s="72"/>
      <c r="M83" s="72"/>
      <c r="N83" s="51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5.75" customHeight="1">
      <c r="A84" s="1">
        <v>83.0</v>
      </c>
      <c r="B84" s="16" t="s">
        <v>69</v>
      </c>
      <c r="C84" s="75" t="s">
        <v>331</v>
      </c>
      <c r="D84" s="32"/>
      <c r="E84" s="32"/>
      <c r="F84" s="109" t="s">
        <v>79</v>
      </c>
      <c r="G84" s="32"/>
      <c r="H84" s="40" t="s">
        <v>66</v>
      </c>
      <c r="I84" s="39"/>
      <c r="J84" s="26"/>
      <c r="K84" s="28"/>
      <c r="L84" s="72"/>
      <c r="M84" s="72"/>
      <c r="N84" s="51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5.75" customHeight="1">
      <c r="A85" s="1">
        <v>84.0</v>
      </c>
      <c r="B85" s="16" t="s">
        <v>69</v>
      </c>
      <c r="C85" s="75" t="s">
        <v>332</v>
      </c>
      <c r="D85" s="32"/>
      <c r="E85" s="32"/>
      <c r="F85" s="109" t="s">
        <v>79</v>
      </c>
      <c r="G85" s="32"/>
      <c r="H85" s="40" t="s">
        <v>66</v>
      </c>
      <c r="I85" s="39"/>
      <c r="J85" s="26"/>
      <c r="K85" s="28"/>
      <c r="L85" s="72"/>
      <c r="M85" s="72"/>
      <c r="N85" s="51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5.75" customHeight="1">
      <c r="A86" s="1">
        <v>85.0</v>
      </c>
      <c r="B86" s="16" t="s">
        <v>69</v>
      </c>
      <c r="C86" s="75" t="s">
        <v>334</v>
      </c>
      <c r="D86" s="32"/>
      <c r="E86" s="32"/>
      <c r="F86" s="109" t="s">
        <v>79</v>
      </c>
      <c r="G86" s="32"/>
      <c r="H86" s="40" t="s">
        <v>66</v>
      </c>
      <c r="I86" s="39"/>
      <c r="J86" s="26"/>
      <c r="K86" s="28"/>
      <c r="L86" s="72"/>
      <c r="M86" s="72"/>
      <c r="N86" s="51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5.75" customHeight="1">
      <c r="A87" s="1">
        <v>86.0</v>
      </c>
      <c r="B87" s="16" t="s">
        <v>69</v>
      </c>
      <c r="C87" s="75" t="s">
        <v>335</v>
      </c>
      <c r="D87" s="32"/>
      <c r="E87" s="32"/>
      <c r="F87" s="109" t="s">
        <v>79</v>
      </c>
      <c r="G87" s="32"/>
      <c r="H87" s="40" t="s">
        <v>66</v>
      </c>
      <c r="I87" s="39"/>
      <c r="J87" s="26"/>
      <c r="K87" s="28"/>
      <c r="L87" s="72"/>
      <c r="M87" s="72"/>
      <c r="N87" s="51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5.75" customHeight="1">
      <c r="A88" s="1">
        <v>87.0</v>
      </c>
      <c r="B88" s="16" t="s">
        <v>69</v>
      </c>
      <c r="C88" s="75" t="s">
        <v>337</v>
      </c>
      <c r="D88" s="32"/>
      <c r="E88" s="32"/>
      <c r="F88" s="109" t="s">
        <v>79</v>
      </c>
      <c r="G88" s="32"/>
      <c r="H88" s="40" t="s">
        <v>66</v>
      </c>
      <c r="I88" s="39"/>
      <c r="J88" s="26"/>
      <c r="K88" s="28"/>
      <c r="L88" s="72"/>
      <c r="M88" s="72"/>
      <c r="N88" s="51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5.75" customHeight="1">
      <c r="A89" s="1">
        <v>88.0</v>
      </c>
      <c r="B89" s="16" t="s">
        <v>69</v>
      </c>
      <c r="C89" s="75" t="s">
        <v>338</v>
      </c>
      <c r="D89" s="32"/>
      <c r="E89" s="32"/>
      <c r="F89" s="109" t="s">
        <v>79</v>
      </c>
      <c r="G89" s="32"/>
      <c r="H89" s="40" t="s">
        <v>66</v>
      </c>
      <c r="I89" s="39"/>
      <c r="J89" s="26"/>
      <c r="K89" s="28"/>
      <c r="L89" s="72"/>
      <c r="M89" s="72"/>
      <c r="N89" s="51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5.75" customHeight="1">
      <c r="A90" s="1">
        <v>89.0</v>
      </c>
      <c r="B90" s="16" t="s">
        <v>69</v>
      </c>
      <c r="C90" s="134" t="s">
        <v>420</v>
      </c>
      <c r="D90" s="62" t="s">
        <v>45</v>
      </c>
      <c r="E90" s="62" t="s">
        <v>422</v>
      </c>
      <c r="F90" s="62" t="s">
        <v>122</v>
      </c>
      <c r="G90" s="92"/>
      <c r="H90" s="62" t="s">
        <v>67</v>
      </c>
      <c r="I90" s="39"/>
      <c r="J90" s="26"/>
      <c r="K90" s="28"/>
      <c r="L90" s="72"/>
      <c r="M90" s="72"/>
      <c r="N90" s="51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5.75" customHeight="1">
      <c r="A91" s="1">
        <v>90.0</v>
      </c>
      <c r="B91" s="16" t="s">
        <v>69</v>
      </c>
      <c r="C91" s="134" t="s">
        <v>423</v>
      </c>
      <c r="D91" s="92"/>
      <c r="E91" s="62" t="s">
        <v>234</v>
      </c>
      <c r="F91" s="62" t="s">
        <v>369</v>
      </c>
      <c r="G91" s="92"/>
      <c r="H91" s="62" t="s">
        <v>67</v>
      </c>
      <c r="I91" s="151"/>
      <c r="J91" s="26"/>
      <c r="K91" s="28"/>
      <c r="L91" s="72"/>
      <c r="M91" s="72"/>
      <c r="N91" s="51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5.75" customHeight="1">
      <c r="A92" s="1">
        <v>91.0</v>
      </c>
      <c r="B92" s="16" t="s">
        <v>69</v>
      </c>
      <c r="C92" s="134" t="s">
        <v>424</v>
      </c>
      <c r="D92" s="92"/>
      <c r="E92" s="62" t="s">
        <v>234</v>
      </c>
      <c r="F92" s="62" t="s">
        <v>369</v>
      </c>
      <c r="G92" s="92"/>
      <c r="H92" s="62" t="s">
        <v>67</v>
      </c>
      <c r="I92" s="151"/>
      <c r="J92" s="26"/>
      <c r="K92" s="28"/>
      <c r="L92" s="72"/>
      <c r="M92" s="72"/>
      <c r="N92" s="51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5.75" customHeight="1">
      <c r="A93" s="1">
        <v>92.0</v>
      </c>
      <c r="B93" s="16" t="s">
        <v>69</v>
      </c>
      <c r="C93" s="134" t="s">
        <v>425</v>
      </c>
      <c r="D93" s="92"/>
      <c r="E93" s="62" t="s">
        <v>234</v>
      </c>
      <c r="F93" s="62" t="s">
        <v>369</v>
      </c>
      <c r="G93" s="92"/>
      <c r="H93" s="62" t="s">
        <v>67</v>
      </c>
      <c r="I93" s="39"/>
      <c r="J93" s="26"/>
      <c r="K93" s="28"/>
      <c r="L93" s="72"/>
      <c r="M93" s="72"/>
      <c r="N93" s="51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5.75" customHeight="1">
      <c r="A94" s="1">
        <v>93.0</v>
      </c>
      <c r="B94" s="16" t="s">
        <v>69</v>
      </c>
      <c r="C94" s="134" t="s">
        <v>427</v>
      </c>
      <c r="D94" s="92"/>
      <c r="E94" s="62" t="s">
        <v>234</v>
      </c>
      <c r="F94" s="62" t="s">
        <v>369</v>
      </c>
      <c r="G94" s="92"/>
      <c r="H94" s="62" t="s">
        <v>67</v>
      </c>
      <c r="I94" s="39"/>
      <c r="J94" s="26"/>
      <c r="K94" s="28"/>
      <c r="L94" s="72"/>
      <c r="M94" s="72"/>
      <c r="N94" s="51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5.75" customHeight="1">
      <c r="A95" s="1">
        <v>94.0</v>
      </c>
      <c r="B95" s="16" t="s">
        <v>69</v>
      </c>
      <c r="C95" s="134" t="s">
        <v>428</v>
      </c>
      <c r="D95" s="92"/>
      <c r="E95" s="62" t="s">
        <v>234</v>
      </c>
      <c r="F95" s="62" t="s">
        <v>369</v>
      </c>
      <c r="G95" s="92"/>
      <c r="H95" s="62" t="s">
        <v>67</v>
      </c>
      <c r="I95" s="39"/>
      <c r="J95" s="26"/>
      <c r="K95" s="28"/>
      <c r="L95" s="72"/>
      <c r="M95" s="72"/>
      <c r="N95" s="51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5.75" customHeight="1">
      <c r="A96" s="1">
        <v>95.0</v>
      </c>
      <c r="B96" s="16" t="s">
        <v>69</v>
      </c>
      <c r="C96" s="134" t="s">
        <v>430</v>
      </c>
      <c r="D96" s="92"/>
      <c r="E96" s="62" t="s">
        <v>234</v>
      </c>
      <c r="F96" s="62" t="s">
        <v>369</v>
      </c>
      <c r="G96" s="92"/>
      <c r="H96" s="62" t="s">
        <v>67</v>
      </c>
      <c r="I96" s="39"/>
      <c r="J96" s="26"/>
      <c r="K96" s="28"/>
      <c r="L96" s="72"/>
      <c r="M96" s="72"/>
      <c r="N96" s="51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5.75" customHeight="1">
      <c r="A97" s="1">
        <v>96.0</v>
      </c>
      <c r="B97" s="16" t="s">
        <v>69</v>
      </c>
      <c r="C97" s="134" t="s">
        <v>431</v>
      </c>
      <c r="D97" s="92"/>
      <c r="E97" s="62" t="s">
        <v>234</v>
      </c>
      <c r="F97" s="62" t="s">
        <v>369</v>
      </c>
      <c r="G97" s="92"/>
      <c r="H97" s="62" t="s">
        <v>67</v>
      </c>
      <c r="I97" s="39"/>
      <c r="J97" s="26"/>
      <c r="K97" s="28"/>
      <c r="L97" s="72"/>
      <c r="M97" s="72"/>
      <c r="N97" s="51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5.75" customHeight="1">
      <c r="A98" s="1">
        <v>97.0</v>
      </c>
      <c r="B98" s="16" t="s">
        <v>69</v>
      </c>
      <c r="C98" s="134" t="s">
        <v>433</v>
      </c>
      <c r="D98" s="92"/>
      <c r="E98" s="62" t="s">
        <v>234</v>
      </c>
      <c r="F98" s="62" t="s">
        <v>369</v>
      </c>
      <c r="G98" s="92"/>
      <c r="H98" s="62" t="s">
        <v>67</v>
      </c>
      <c r="I98" s="39"/>
      <c r="J98" s="26"/>
      <c r="K98" s="28"/>
      <c r="L98" s="72"/>
      <c r="M98" s="72"/>
      <c r="N98" s="51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5.75" customHeight="1">
      <c r="A99" s="1">
        <v>98.0</v>
      </c>
      <c r="B99" s="16" t="s">
        <v>69</v>
      </c>
      <c r="C99" s="134" t="s">
        <v>435</v>
      </c>
      <c r="D99" s="92"/>
      <c r="E99" s="62" t="s">
        <v>234</v>
      </c>
      <c r="F99" s="115" t="s">
        <v>369</v>
      </c>
      <c r="G99" s="92"/>
      <c r="H99" s="62" t="s">
        <v>67</v>
      </c>
      <c r="I99" s="39"/>
      <c r="J99" s="26"/>
      <c r="K99" s="28"/>
      <c r="L99" s="72"/>
      <c r="M99" s="72"/>
      <c r="N99" s="51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5.75" customHeight="1">
      <c r="A100" s="1">
        <v>99.0</v>
      </c>
      <c r="B100" s="16" t="s">
        <v>69</v>
      </c>
      <c r="C100" s="134" t="s">
        <v>436</v>
      </c>
      <c r="D100" s="92"/>
      <c r="E100" s="62" t="s">
        <v>437</v>
      </c>
      <c r="F100" s="115" t="s">
        <v>369</v>
      </c>
      <c r="G100" s="92"/>
      <c r="H100" s="62" t="s">
        <v>67</v>
      </c>
      <c r="I100" s="39"/>
      <c r="J100" s="26"/>
      <c r="K100" s="28"/>
      <c r="L100" s="72"/>
      <c r="M100" s="72"/>
      <c r="N100" s="51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5.75" customHeight="1">
      <c r="A101" s="1">
        <v>100.0</v>
      </c>
      <c r="B101" s="16" t="s">
        <v>69</v>
      </c>
      <c r="C101" s="134" t="s">
        <v>438</v>
      </c>
      <c r="D101" s="92"/>
      <c r="E101" s="62" t="s">
        <v>437</v>
      </c>
      <c r="F101" s="115" t="s">
        <v>369</v>
      </c>
      <c r="G101" s="92"/>
      <c r="H101" s="62" t="s">
        <v>67</v>
      </c>
      <c r="I101" s="39"/>
      <c r="J101" s="26"/>
      <c r="K101" s="28"/>
      <c r="L101" s="72"/>
      <c r="M101" s="72"/>
      <c r="N101" s="51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5.75" customHeight="1">
      <c r="A102" s="1">
        <v>101.0</v>
      </c>
      <c r="B102" s="16" t="s">
        <v>69</v>
      </c>
      <c r="C102" s="134" t="s">
        <v>440</v>
      </c>
      <c r="D102" s="92"/>
      <c r="E102" s="62" t="s">
        <v>234</v>
      </c>
      <c r="F102" s="115" t="s">
        <v>369</v>
      </c>
      <c r="G102" s="92"/>
      <c r="H102" s="62" t="s">
        <v>67</v>
      </c>
      <c r="I102" s="39"/>
      <c r="J102" s="26"/>
      <c r="K102" s="28"/>
      <c r="L102" s="72"/>
      <c r="M102" s="72"/>
      <c r="N102" s="51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5.75" customHeight="1">
      <c r="A103" s="1">
        <v>102.0</v>
      </c>
      <c r="B103" s="16" t="s">
        <v>69</v>
      </c>
      <c r="C103" s="134" t="s">
        <v>445</v>
      </c>
      <c r="D103" s="92"/>
      <c r="E103" s="62" t="s">
        <v>234</v>
      </c>
      <c r="F103" s="115" t="s">
        <v>369</v>
      </c>
      <c r="G103" s="92"/>
      <c r="H103" s="62" t="s">
        <v>67</v>
      </c>
      <c r="I103" s="39"/>
      <c r="J103" s="26"/>
      <c r="K103" s="28"/>
      <c r="L103" s="72"/>
      <c r="M103" s="72"/>
      <c r="N103" s="51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5.75" customHeight="1">
      <c r="A104" s="1">
        <v>103.0</v>
      </c>
      <c r="B104" s="16" t="s">
        <v>69</v>
      </c>
      <c r="C104" s="134" t="s">
        <v>448</v>
      </c>
      <c r="D104" s="92"/>
      <c r="E104" s="62" t="s">
        <v>234</v>
      </c>
      <c r="F104" s="62" t="s">
        <v>369</v>
      </c>
      <c r="G104" s="92"/>
      <c r="H104" s="62" t="s">
        <v>67</v>
      </c>
      <c r="I104" s="39"/>
      <c r="J104" s="26"/>
      <c r="K104" s="28"/>
      <c r="L104" s="72"/>
      <c r="M104" s="72"/>
      <c r="N104" s="51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5.75" customHeight="1">
      <c r="A105" s="1">
        <v>104.0</v>
      </c>
      <c r="B105" s="16" t="s">
        <v>69</v>
      </c>
      <c r="C105" s="134" t="s">
        <v>449</v>
      </c>
      <c r="D105" s="92"/>
      <c r="E105" s="62" t="s">
        <v>234</v>
      </c>
      <c r="F105" s="62" t="s">
        <v>369</v>
      </c>
      <c r="G105" s="92"/>
      <c r="H105" s="62" t="s">
        <v>67</v>
      </c>
      <c r="I105" s="39"/>
      <c r="J105" s="26"/>
      <c r="K105" s="28"/>
      <c r="L105" s="72"/>
      <c r="M105" s="72"/>
      <c r="N105" s="51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5.75" customHeight="1">
      <c r="A106" s="1">
        <v>105.0</v>
      </c>
      <c r="B106" s="16" t="s">
        <v>69</v>
      </c>
      <c r="C106" s="134" t="s">
        <v>451</v>
      </c>
      <c r="D106" s="92"/>
      <c r="E106" s="62" t="s">
        <v>234</v>
      </c>
      <c r="F106" s="62" t="s">
        <v>369</v>
      </c>
      <c r="G106" s="92"/>
      <c r="H106" s="62" t="s">
        <v>67</v>
      </c>
      <c r="I106" s="39"/>
      <c r="J106" s="26"/>
      <c r="K106" s="28"/>
      <c r="L106" s="72"/>
      <c r="M106" s="72"/>
      <c r="N106" s="51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5.75" customHeight="1">
      <c r="A107" s="1">
        <v>106.0</v>
      </c>
      <c r="B107" s="16" t="s">
        <v>69</v>
      </c>
      <c r="C107" s="134" t="s">
        <v>452</v>
      </c>
      <c r="D107" s="92"/>
      <c r="E107" s="62" t="s">
        <v>234</v>
      </c>
      <c r="F107" s="62" t="s">
        <v>369</v>
      </c>
      <c r="G107" s="92"/>
      <c r="H107" s="62" t="s">
        <v>67</v>
      </c>
      <c r="I107" s="39"/>
      <c r="J107" s="26"/>
      <c r="K107" s="28"/>
      <c r="L107" s="72"/>
      <c r="M107" s="72"/>
      <c r="N107" s="51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5.75" customHeight="1">
      <c r="A108" s="1">
        <v>107.0</v>
      </c>
      <c r="B108" s="16" t="s">
        <v>69</v>
      </c>
      <c r="C108" s="134" t="s">
        <v>453</v>
      </c>
      <c r="D108" s="92"/>
      <c r="E108" s="62" t="s">
        <v>454</v>
      </c>
      <c r="F108" s="62" t="s">
        <v>369</v>
      </c>
      <c r="G108" s="92"/>
      <c r="H108" s="62" t="s">
        <v>67</v>
      </c>
      <c r="I108" s="39"/>
      <c r="J108" s="26"/>
      <c r="K108" s="28"/>
      <c r="L108" s="72"/>
      <c r="M108" s="72"/>
      <c r="N108" s="51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5.75" customHeight="1">
      <c r="A109" s="1">
        <v>108.0</v>
      </c>
      <c r="B109" s="16" t="s">
        <v>69</v>
      </c>
      <c r="C109" s="81"/>
      <c r="D109" s="32"/>
      <c r="E109" s="32"/>
      <c r="F109" s="109" t="s">
        <v>79</v>
      </c>
      <c r="G109" s="32"/>
      <c r="H109" s="40" t="s">
        <v>71</v>
      </c>
      <c r="I109" s="39"/>
      <c r="J109" s="26"/>
      <c r="K109" s="28"/>
      <c r="L109" s="72"/>
      <c r="M109" s="72"/>
      <c r="N109" s="51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5.75" customHeight="1">
      <c r="A110" s="1">
        <v>109.0</v>
      </c>
      <c r="B110" s="16" t="s">
        <v>69</v>
      </c>
      <c r="C110" s="81"/>
      <c r="D110" s="32"/>
      <c r="E110" s="32"/>
      <c r="F110" s="109" t="s">
        <v>79</v>
      </c>
      <c r="G110" s="32"/>
      <c r="H110" s="40" t="s">
        <v>71</v>
      </c>
      <c r="I110" s="39"/>
      <c r="J110" s="26"/>
      <c r="K110" s="28"/>
      <c r="L110" s="72"/>
      <c r="M110" s="72"/>
      <c r="N110" s="51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5.75" customHeight="1">
      <c r="A111" s="1">
        <v>110.0</v>
      </c>
      <c r="B111" s="16" t="s">
        <v>69</v>
      </c>
      <c r="C111" s="81"/>
      <c r="D111" s="32"/>
      <c r="E111" s="32"/>
      <c r="F111" s="109" t="s">
        <v>79</v>
      </c>
      <c r="G111" s="32"/>
      <c r="H111" s="40" t="s">
        <v>71</v>
      </c>
      <c r="I111" s="39"/>
      <c r="J111" s="26"/>
      <c r="K111" s="28"/>
      <c r="L111" s="72"/>
      <c r="M111" s="72"/>
      <c r="N111" s="51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5.75" customHeight="1">
      <c r="A112" s="1">
        <v>111.0</v>
      </c>
      <c r="B112" s="16" t="s">
        <v>69</v>
      </c>
      <c r="C112" s="81"/>
      <c r="D112" s="32"/>
      <c r="E112" s="32"/>
      <c r="F112" s="109" t="s">
        <v>79</v>
      </c>
      <c r="G112" s="32"/>
      <c r="H112" s="40" t="s">
        <v>71</v>
      </c>
      <c r="I112" s="39"/>
      <c r="J112" s="26"/>
      <c r="K112" s="28"/>
      <c r="L112" s="72"/>
      <c r="M112" s="72"/>
      <c r="N112" s="51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5.75" customHeight="1">
      <c r="A113" s="1">
        <v>112.0</v>
      </c>
      <c r="B113" s="16" t="s">
        <v>69</v>
      </c>
      <c r="C113" s="81"/>
      <c r="D113" s="32"/>
      <c r="E113" s="32"/>
      <c r="F113" s="109" t="s">
        <v>79</v>
      </c>
      <c r="G113" s="32"/>
      <c r="H113" s="40" t="s">
        <v>71</v>
      </c>
      <c r="I113" s="39"/>
      <c r="J113" s="26"/>
      <c r="K113" s="28"/>
      <c r="L113" s="72"/>
      <c r="M113" s="72"/>
      <c r="N113" s="51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5.75" customHeight="1">
      <c r="A114" s="1">
        <v>113.0</v>
      </c>
      <c r="B114" s="16" t="s">
        <v>69</v>
      </c>
      <c r="C114" s="81"/>
      <c r="D114" s="32"/>
      <c r="E114" s="32"/>
      <c r="F114" s="109" t="s">
        <v>79</v>
      </c>
      <c r="G114" s="32"/>
      <c r="H114" s="40" t="s">
        <v>71</v>
      </c>
      <c r="I114" s="39"/>
      <c r="J114" s="26"/>
      <c r="K114" s="28"/>
      <c r="L114" s="72"/>
      <c r="M114" s="72"/>
      <c r="N114" s="51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5.75" customHeight="1">
      <c r="A115" s="1">
        <v>114.0</v>
      </c>
      <c r="B115" s="16" t="s">
        <v>69</v>
      </c>
      <c r="C115" s="90"/>
      <c r="D115" s="92"/>
      <c r="E115" s="92"/>
      <c r="F115" s="115" t="s">
        <v>79</v>
      </c>
      <c r="G115" s="92"/>
      <c r="H115" s="62" t="s">
        <v>72</v>
      </c>
      <c r="I115" s="39"/>
      <c r="J115" s="26"/>
      <c r="K115" s="28"/>
      <c r="L115" s="72"/>
      <c r="M115" s="72"/>
      <c r="N115" s="51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5.75" customHeight="1">
      <c r="A116" s="1">
        <v>115.0</v>
      </c>
      <c r="B116" s="16" t="s">
        <v>69</v>
      </c>
      <c r="C116" s="90"/>
      <c r="D116" s="92"/>
      <c r="E116" s="92"/>
      <c r="F116" s="115" t="s">
        <v>79</v>
      </c>
      <c r="G116" s="92"/>
      <c r="H116" s="62" t="s">
        <v>72</v>
      </c>
      <c r="I116" s="39"/>
      <c r="J116" s="209"/>
      <c r="K116" s="28"/>
      <c r="L116" s="72"/>
      <c r="M116" s="72"/>
      <c r="N116" s="51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5.75" customHeight="1">
      <c r="A117" s="1">
        <v>116.0</v>
      </c>
      <c r="B117" s="16" t="s">
        <v>69</v>
      </c>
      <c r="C117" s="90"/>
      <c r="D117" s="92"/>
      <c r="E117" s="92"/>
      <c r="F117" s="115" t="s">
        <v>79</v>
      </c>
      <c r="G117" s="92"/>
      <c r="H117" s="62" t="s">
        <v>72</v>
      </c>
      <c r="I117" s="39"/>
      <c r="J117" s="46"/>
      <c r="K117" s="28"/>
      <c r="L117" s="72"/>
      <c r="M117" s="72"/>
      <c r="N117" s="51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5.75" customHeight="1">
      <c r="A118" s="1">
        <v>117.0</v>
      </c>
      <c r="B118" s="16" t="s">
        <v>69</v>
      </c>
      <c r="C118" s="90"/>
      <c r="D118" s="92"/>
      <c r="E118" s="92"/>
      <c r="F118" s="115" t="s">
        <v>79</v>
      </c>
      <c r="G118" s="92"/>
      <c r="H118" s="62" t="s">
        <v>72</v>
      </c>
      <c r="I118" s="39"/>
      <c r="J118" s="26"/>
      <c r="K118" s="28"/>
      <c r="L118" s="72"/>
      <c r="M118" s="72"/>
      <c r="N118" s="51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5.75" customHeight="1">
      <c r="A119" s="1">
        <v>118.0</v>
      </c>
      <c r="B119" s="16" t="s">
        <v>69</v>
      </c>
      <c r="C119" s="90"/>
      <c r="D119" s="92"/>
      <c r="E119" s="92"/>
      <c r="F119" s="115" t="s">
        <v>79</v>
      </c>
      <c r="G119" s="92"/>
      <c r="H119" s="62" t="s">
        <v>72</v>
      </c>
      <c r="I119" s="39"/>
      <c r="J119" s="26"/>
      <c r="K119" s="28"/>
      <c r="L119" s="72"/>
      <c r="M119" s="72"/>
      <c r="N119" s="51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5.75" customHeight="1">
      <c r="A120" s="1">
        <v>119.0</v>
      </c>
      <c r="B120" s="16" t="s">
        <v>69</v>
      </c>
      <c r="C120" s="90"/>
      <c r="D120" s="92"/>
      <c r="E120" s="92"/>
      <c r="F120" s="115" t="s">
        <v>79</v>
      </c>
      <c r="G120" s="92"/>
      <c r="H120" s="62" t="s">
        <v>72</v>
      </c>
      <c r="I120" s="39"/>
      <c r="J120" s="26"/>
      <c r="K120" s="28"/>
      <c r="L120" s="72"/>
      <c r="M120" s="72"/>
      <c r="N120" s="51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5.75" customHeight="1">
      <c r="A121" s="1">
        <v>120.0</v>
      </c>
      <c r="B121" s="16" t="s">
        <v>69</v>
      </c>
      <c r="C121" s="60"/>
      <c r="D121" s="16"/>
      <c r="E121" s="16"/>
      <c r="F121" s="41" t="s">
        <v>79</v>
      </c>
      <c r="G121" s="16"/>
      <c r="H121" s="20" t="s">
        <v>75</v>
      </c>
      <c r="I121" s="39"/>
      <c r="J121" s="26"/>
      <c r="K121" s="28"/>
      <c r="L121" s="72"/>
      <c r="M121" s="72"/>
      <c r="N121" s="51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5.75" customHeight="1">
      <c r="A122" s="1">
        <v>121.0</v>
      </c>
      <c r="B122" s="16" t="s">
        <v>69</v>
      </c>
      <c r="C122" s="60"/>
      <c r="D122" s="16"/>
      <c r="E122" s="16"/>
      <c r="F122" s="41" t="s">
        <v>79</v>
      </c>
      <c r="G122" s="16"/>
      <c r="H122" s="20" t="s">
        <v>75</v>
      </c>
      <c r="I122" s="39"/>
      <c r="J122" s="26"/>
      <c r="K122" s="28"/>
      <c r="L122" s="72"/>
      <c r="M122" s="72"/>
      <c r="N122" s="51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5.75" customHeight="1">
      <c r="A123" s="1">
        <v>122.0</v>
      </c>
      <c r="B123" s="16" t="s">
        <v>69</v>
      </c>
      <c r="C123" s="60"/>
      <c r="D123" s="16"/>
      <c r="E123" s="16"/>
      <c r="F123" s="41" t="s">
        <v>79</v>
      </c>
      <c r="G123" s="16"/>
      <c r="H123" s="20" t="s">
        <v>75</v>
      </c>
      <c r="I123" s="39"/>
      <c r="J123" s="26"/>
      <c r="K123" s="28"/>
      <c r="L123" s="72"/>
      <c r="M123" s="72"/>
      <c r="N123" s="51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5.75" customHeight="1">
      <c r="A124" s="1">
        <v>123.0</v>
      </c>
      <c r="B124" s="16" t="s">
        <v>69</v>
      </c>
      <c r="C124" s="60"/>
      <c r="D124" s="16"/>
      <c r="E124" s="16"/>
      <c r="F124" s="41" t="s">
        <v>79</v>
      </c>
      <c r="G124" s="16"/>
      <c r="H124" s="20" t="s">
        <v>75</v>
      </c>
      <c r="I124" s="39"/>
      <c r="K124" s="28"/>
      <c r="L124" s="72"/>
      <c r="M124" s="72"/>
      <c r="N124" s="51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5.75" customHeight="1">
      <c r="A125" s="1">
        <v>124.0</v>
      </c>
      <c r="B125" s="16" t="s">
        <v>69</v>
      </c>
      <c r="C125" s="60"/>
      <c r="D125" s="16"/>
      <c r="E125" s="16"/>
      <c r="F125" s="41" t="s">
        <v>79</v>
      </c>
      <c r="G125" s="16"/>
      <c r="H125" s="20" t="s">
        <v>75</v>
      </c>
      <c r="I125" s="39"/>
      <c r="K125" s="28"/>
      <c r="L125" s="72"/>
      <c r="M125" s="72"/>
      <c r="N125" s="51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5.75" customHeight="1">
      <c r="A126" s="1">
        <v>125.0</v>
      </c>
      <c r="B126" s="16" t="s">
        <v>69</v>
      </c>
      <c r="C126" s="81"/>
      <c r="D126" s="32"/>
      <c r="E126" s="32"/>
      <c r="F126" s="109" t="s">
        <v>79</v>
      </c>
      <c r="G126" s="32"/>
      <c r="H126" s="40" t="s">
        <v>77</v>
      </c>
      <c r="I126" s="39"/>
      <c r="J126" s="26"/>
      <c r="K126" s="28"/>
      <c r="L126" s="72"/>
      <c r="M126" s="72"/>
      <c r="N126" s="51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5.75" customHeight="1">
      <c r="A127" s="1">
        <v>126.0</v>
      </c>
      <c r="B127" s="16" t="s">
        <v>69</v>
      </c>
      <c r="C127" s="81"/>
      <c r="D127" s="32"/>
      <c r="E127" s="32"/>
      <c r="F127" s="109" t="s">
        <v>79</v>
      </c>
      <c r="G127" s="32"/>
      <c r="H127" s="40" t="s">
        <v>77</v>
      </c>
      <c r="I127" s="39"/>
      <c r="J127" s="26"/>
      <c r="K127" s="28"/>
      <c r="L127" s="72"/>
      <c r="M127" s="72"/>
      <c r="N127" s="51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5.75" customHeight="1">
      <c r="A128" s="1">
        <v>127.0</v>
      </c>
      <c r="B128" s="16" t="s">
        <v>69</v>
      </c>
      <c r="C128" s="81"/>
      <c r="D128" s="32"/>
      <c r="E128" s="32"/>
      <c r="F128" s="109" t="s">
        <v>79</v>
      </c>
      <c r="G128" s="32"/>
      <c r="H128" s="40" t="s">
        <v>77</v>
      </c>
      <c r="I128" s="39"/>
      <c r="J128" s="26"/>
      <c r="K128" s="28"/>
      <c r="L128" s="72"/>
      <c r="M128" s="72"/>
      <c r="N128" s="51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5.75" customHeight="1">
      <c r="A129" s="1">
        <v>128.0</v>
      </c>
      <c r="B129" s="16" t="s">
        <v>69</v>
      </c>
      <c r="C129" s="81"/>
      <c r="D129" s="32"/>
      <c r="E129" s="32"/>
      <c r="F129" s="109" t="s">
        <v>79</v>
      </c>
      <c r="G129" s="32"/>
      <c r="H129" s="40" t="s">
        <v>77</v>
      </c>
      <c r="I129" s="39"/>
      <c r="J129" s="26"/>
      <c r="K129" s="28"/>
      <c r="L129" s="72"/>
      <c r="M129" s="72"/>
      <c r="N129" s="51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5.75" customHeight="1">
      <c r="A130" s="1">
        <v>129.0</v>
      </c>
      <c r="B130" s="16" t="s">
        <v>69</v>
      </c>
      <c r="C130" s="81"/>
      <c r="D130" s="32"/>
      <c r="E130" s="32"/>
      <c r="F130" s="109" t="s">
        <v>79</v>
      </c>
      <c r="G130" s="32"/>
      <c r="H130" s="40" t="s">
        <v>77</v>
      </c>
      <c r="I130" s="39"/>
      <c r="J130" s="26"/>
      <c r="K130" s="28"/>
      <c r="L130" s="72"/>
      <c r="M130" s="72"/>
      <c r="N130" s="51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5.75" customHeight="1">
      <c r="A131" s="1">
        <v>130.0</v>
      </c>
      <c r="B131" s="16" t="s">
        <v>69</v>
      </c>
      <c r="C131" s="34" t="s">
        <v>353</v>
      </c>
      <c r="D131" s="20" t="s">
        <v>45</v>
      </c>
      <c r="E131" s="20" t="s">
        <v>481</v>
      </c>
      <c r="F131" s="211" t="s">
        <v>79</v>
      </c>
      <c r="G131" s="16"/>
      <c r="H131" s="20" t="s">
        <v>80</v>
      </c>
      <c r="I131" s="39"/>
      <c r="J131" s="26"/>
      <c r="K131" s="28"/>
      <c r="L131" s="72"/>
      <c r="M131" s="72"/>
      <c r="N131" s="51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5.75" customHeight="1">
      <c r="A132" s="1">
        <v>131.0</v>
      </c>
      <c r="B132" s="16" t="s">
        <v>69</v>
      </c>
      <c r="C132" s="34" t="s">
        <v>356</v>
      </c>
      <c r="D132" s="20" t="s">
        <v>45</v>
      </c>
      <c r="E132" s="20" t="s">
        <v>484</v>
      </c>
      <c r="F132" s="41" t="s">
        <v>92</v>
      </c>
      <c r="G132" s="16"/>
      <c r="H132" s="20" t="s">
        <v>80</v>
      </c>
      <c r="I132" s="39"/>
      <c r="J132" s="26"/>
      <c r="K132" s="28"/>
      <c r="L132" s="72"/>
      <c r="M132" s="72"/>
      <c r="N132" s="51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5.75" customHeight="1">
      <c r="A133" s="1">
        <v>132.0</v>
      </c>
      <c r="B133" s="16" t="s">
        <v>69</v>
      </c>
      <c r="C133" s="171" t="s">
        <v>357</v>
      </c>
      <c r="D133" s="40" t="s">
        <v>45</v>
      </c>
      <c r="E133" s="40" t="s">
        <v>486</v>
      </c>
      <c r="F133" s="109" t="s">
        <v>79</v>
      </c>
      <c r="G133" s="32"/>
      <c r="H133" s="40" t="s">
        <v>81</v>
      </c>
      <c r="I133" s="39"/>
      <c r="J133" s="26"/>
      <c r="K133" s="28"/>
      <c r="L133" s="72"/>
      <c r="M133" s="72"/>
      <c r="N133" s="51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5.75" customHeight="1">
      <c r="A134" s="1">
        <v>133.0</v>
      </c>
      <c r="B134" s="16" t="s">
        <v>69</v>
      </c>
      <c r="C134" s="171" t="s">
        <v>361</v>
      </c>
      <c r="D134" s="40" t="s">
        <v>45</v>
      </c>
      <c r="E134" s="40" t="s">
        <v>486</v>
      </c>
      <c r="F134" s="109" t="s">
        <v>79</v>
      </c>
      <c r="G134" s="32"/>
      <c r="H134" s="40" t="s">
        <v>81</v>
      </c>
      <c r="I134" s="39"/>
      <c r="J134" s="26"/>
      <c r="K134" s="28"/>
      <c r="L134" s="72"/>
      <c r="M134" s="72"/>
      <c r="N134" s="51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5.75" customHeight="1">
      <c r="A135" s="1">
        <v>134.0</v>
      </c>
      <c r="B135" s="16" t="s">
        <v>69</v>
      </c>
      <c r="C135" s="171" t="s">
        <v>362</v>
      </c>
      <c r="D135" s="40" t="s">
        <v>45</v>
      </c>
      <c r="E135" s="40" t="s">
        <v>486</v>
      </c>
      <c r="F135" s="109" t="s">
        <v>79</v>
      </c>
      <c r="G135" s="32"/>
      <c r="H135" s="40" t="s">
        <v>81</v>
      </c>
      <c r="I135" s="39"/>
      <c r="J135" s="26"/>
      <c r="K135" s="28"/>
      <c r="L135" s="72"/>
      <c r="M135" s="72"/>
      <c r="N135" s="51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5.75" customHeight="1">
      <c r="A136" s="1">
        <v>135.0</v>
      </c>
      <c r="B136" s="16" t="s">
        <v>69</v>
      </c>
      <c r="C136" s="171" t="s">
        <v>364</v>
      </c>
      <c r="D136" s="40" t="s">
        <v>495</v>
      </c>
      <c r="E136" s="40" t="s">
        <v>486</v>
      </c>
      <c r="F136" s="109" t="s">
        <v>79</v>
      </c>
      <c r="G136" s="32"/>
      <c r="H136" s="40" t="s">
        <v>81</v>
      </c>
      <c r="I136" s="39"/>
      <c r="J136" s="26"/>
      <c r="K136" s="28"/>
      <c r="L136" s="72"/>
      <c r="M136" s="72"/>
      <c r="N136" s="51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5.75" customHeight="1">
      <c r="A137" s="1">
        <v>136.0</v>
      </c>
      <c r="B137" s="16" t="s">
        <v>69</v>
      </c>
      <c r="C137" s="75" t="s">
        <v>365</v>
      </c>
      <c r="D137" s="40" t="s">
        <v>495</v>
      </c>
      <c r="E137" s="40" t="s">
        <v>486</v>
      </c>
      <c r="F137" s="109" t="s">
        <v>79</v>
      </c>
      <c r="G137" s="32"/>
      <c r="H137" s="40" t="s">
        <v>81</v>
      </c>
      <c r="I137" s="39"/>
      <c r="J137" s="26"/>
      <c r="K137" s="28"/>
      <c r="L137" s="72"/>
      <c r="M137" s="72"/>
      <c r="N137" s="51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5.75" customHeight="1">
      <c r="A138" s="1">
        <v>137.0</v>
      </c>
      <c r="B138" s="16" t="s">
        <v>69</v>
      </c>
      <c r="C138" s="75" t="s">
        <v>366</v>
      </c>
      <c r="D138" s="40" t="s">
        <v>495</v>
      </c>
      <c r="E138" s="40" t="s">
        <v>486</v>
      </c>
      <c r="F138" s="109" t="s">
        <v>79</v>
      </c>
      <c r="G138" s="32"/>
      <c r="H138" s="40" t="s">
        <v>81</v>
      </c>
      <c r="I138" s="39"/>
      <c r="J138" s="26"/>
      <c r="K138" s="28"/>
      <c r="L138" s="72"/>
      <c r="M138" s="72"/>
      <c r="N138" s="51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5.75" customHeight="1">
      <c r="A139" s="1">
        <v>138.0</v>
      </c>
      <c r="B139" s="16" t="s">
        <v>69</v>
      </c>
      <c r="C139" s="134" t="s">
        <v>368</v>
      </c>
      <c r="D139" s="62" t="s">
        <v>45</v>
      </c>
      <c r="E139" s="62" t="s">
        <v>496</v>
      </c>
      <c r="F139" s="115" t="s">
        <v>79</v>
      </c>
      <c r="G139" s="92"/>
      <c r="H139" s="62" t="s">
        <v>83</v>
      </c>
      <c r="I139" s="39"/>
      <c r="J139" s="26"/>
      <c r="K139" s="28"/>
      <c r="L139" s="72"/>
      <c r="M139" s="72"/>
      <c r="N139" s="51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5.75" customHeight="1">
      <c r="A140" s="1">
        <v>139.0</v>
      </c>
      <c r="B140" s="16" t="s">
        <v>69</v>
      </c>
      <c r="C140" s="134" t="s">
        <v>370</v>
      </c>
      <c r="D140" s="62" t="s">
        <v>45</v>
      </c>
      <c r="E140" s="62" t="s">
        <v>499</v>
      </c>
      <c r="F140" s="115" t="s">
        <v>79</v>
      </c>
      <c r="G140" s="92"/>
      <c r="H140" s="62" t="s">
        <v>83</v>
      </c>
      <c r="I140" s="39"/>
      <c r="J140" s="26"/>
      <c r="K140" s="28"/>
      <c r="L140" s="72"/>
      <c r="M140" s="72"/>
      <c r="N140" s="51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5.75" customHeight="1">
      <c r="A141" s="1">
        <v>140.0</v>
      </c>
      <c r="B141" s="16" t="s">
        <v>69</v>
      </c>
      <c r="C141" s="134" t="s">
        <v>373</v>
      </c>
      <c r="D141" s="62" t="s">
        <v>45</v>
      </c>
      <c r="E141" s="62" t="s">
        <v>504</v>
      </c>
      <c r="F141" s="115" t="s">
        <v>79</v>
      </c>
      <c r="G141" s="92"/>
      <c r="H141" s="62" t="s">
        <v>83</v>
      </c>
      <c r="I141" s="39"/>
      <c r="J141" s="26"/>
      <c r="K141" s="28"/>
      <c r="L141" s="72"/>
      <c r="M141" s="72"/>
      <c r="N141" s="51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5.75" customHeight="1">
      <c r="A142" s="1">
        <v>141.0</v>
      </c>
      <c r="B142" s="16" t="s">
        <v>69</v>
      </c>
      <c r="C142" s="134" t="s">
        <v>374</v>
      </c>
      <c r="D142" s="62" t="s">
        <v>495</v>
      </c>
      <c r="E142" s="62" t="s">
        <v>486</v>
      </c>
      <c r="F142" s="115" t="s">
        <v>79</v>
      </c>
      <c r="G142" s="92"/>
      <c r="H142" s="62" t="s">
        <v>83</v>
      </c>
      <c r="I142" s="39"/>
      <c r="J142" s="26"/>
      <c r="K142" s="28"/>
      <c r="L142" s="72"/>
      <c r="M142" s="72"/>
      <c r="N142" s="51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5.75" customHeight="1">
      <c r="A143" s="1">
        <v>142.0</v>
      </c>
      <c r="B143" s="16" t="s">
        <v>69</v>
      </c>
      <c r="C143" s="134" t="s">
        <v>376</v>
      </c>
      <c r="D143" s="62" t="s">
        <v>495</v>
      </c>
      <c r="E143" s="62" t="s">
        <v>486</v>
      </c>
      <c r="F143" s="115" t="s">
        <v>79</v>
      </c>
      <c r="G143" s="92"/>
      <c r="H143" s="62" t="s">
        <v>83</v>
      </c>
      <c r="I143" s="39"/>
      <c r="J143" s="26"/>
      <c r="K143" s="28"/>
      <c r="L143" s="72"/>
      <c r="M143" s="72"/>
      <c r="N143" s="51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5.75" customHeight="1">
      <c r="A144" s="1">
        <v>143.0</v>
      </c>
      <c r="B144" s="16" t="s">
        <v>69</v>
      </c>
      <c r="C144" s="134" t="s">
        <v>378</v>
      </c>
      <c r="D144" s="62" t="s">
        <v>495</v>
      </c>
      <c r="E144" s="62" t="s">
        <v>486</v>
      </c>
      <c r="F144" s="115" t="s">
        <v>79</v>
      </c>
      <c r="G144" s="92"/>
      <c r="H144" s="62" t="s">
        <v>83</v>
      </c>
      <c r="I144" s="39"/>
      <c r="J144" s="26"/>
      <c r="K144" s="28"/>
      <c r="L144" s="72"/>
      <c r="M144" s="72"/>
      <c r="N144" s="51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5.75" customHeight="1">
      <c r="A145" s="1">
        <v>144.0</v>
      </c>
      <c r="B145" s="16" t="s">
        <v>69</v>
      </c>
      <c r="C145" s="81" t="s">
        <v>511</v>
      </c>
      <c r="D145" s="40" t="s">
        <v>177</v>
      </c>
      <c r="E145" s="40" t="s">
        <v>512</v>
      </c>
      <c r="F145" s="197" t="s">
        <v>162</v>
      </c>
      <c r="G145" s="32"/>
      <c r="H145" s="40" t="s">
        <v>85</v>
      </c>
      <c r="I145" s="39"/>
      <c r="J145" s="26"/>
      <c r="K145" s="28"/>
      <c r="L145" s="72"/>
      <c r="M145" s="72"/>
      <c r="N145" s="51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5.75" customHeight="1">
      <c r="A146" s="1">
        <v>145.0</v>
      </c>
      <c r="B146" s="16" t="s">
        <v>69</v>
      </c>
      <c r="C146" s="81" t="s">
        <v>518</v>
      </c>
      <c r="D146" s="40" t="s">
        <v>177</v>
      </c>
      <c r="E146" s="40" t="s">
        <v>519</v>
      </c>
      <c r="F146" s="197" t="s">
        <v>162</v>
      </c>
      <c r="G146" s="32"/>
      <c r="H146" s="40" t="s">
        <v>85</v>
      </c>
      <c r="I146" s="39"/>
      <c r="J146" s="26"/>
      <c r="K146" s="28"/>
      <c r="L146" s="72"/>
      <c r="M146" s="72"/>
      <c r="N146" s="51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5.75" customHeight="1">
      <c r="A147" s="1">
        <v>146.0</v>
      </c>
      <c r="B147" s="16" t="s">
        <v>69</v>
      </c>
      <c r="C147" s="81" t="s">
        <v>520</v>
      </c>
      <c r="D147" s="40" t="s">
        <v>177</v>
      </c>
      <c r="E147" s="40" t="s">
        <v>521</v>
      </c>
      <c r="F147" s="197" t="s">
        <v>162</v>
      </c>
      <c r="G147" s="32"/>
      <c r="H147" s="40" t="s">
        <v>85</v>
      </c>
      <c r="I147" s="39"/>
      <c r="J147" s="26"/>
      <c r="K147" s="28"/>
      <c r="L147" s="72"/>
      <c r="M147" s="72"/>
      <c r="N147" s="51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5.75" customHeight="1">
      <c r="A148" s="1">
        <v>147.0</v>
      </c>
      <c r="B148" s="16" t="s">
        <v>69</v>
      </c>
      <c r="C148" s="75"/>
      <c r="D148" s="40"/>
      <c r="E148" s="32"/>
      <c r="F148" s="197" t="s">
        <v>162</v>
      </c>
      <c r="G148" s="32"/>
      <c r="H148" s="40" t="s">
        <v>85</v>
      </c>
      <c r="I148" s="39"/>
      <c r="J148" s="26"/>
      <c r="K148" s="28"/>
      <c r="L148" s="72"/>
      <c r="M148" s="72"/>
      <c r="N148" s="51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5.75" customHeight="1">
      <c r="A149" s="1">
        <v>148.0</v>
      </c>
      <c r="B149" s="16" t="s">
        <v>69</v>
      </c>
      <c r="C149" s="75"/>
      <c r="D149" s="40"/>
      <c r="E149" s="32"/>
      <c r="F149" s="197" t="s">
        <v>162</v>
      </c>
      <c r="G149" s="32"/>
      <c r="H149" s="40" t="s">
        <v>85</v>
      </c>
      <c r="I149" s="39"/>
      <c r="J149" s="26"/>
      <c r="K149" s="28"/>
      <c r="L149" s="72"/>
      <c r="M149" s="72"/>
      <c r="N149" s="51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5.75" customHeight="1">
      <c r="A150" s="1">
        <v>149.0</v>
      </c>
      <c r="B150" s="16" t="s">
        <v>69</v>
      </c>
      <c r="C150" s="75"/>
      <c r="D150" s="40"/>
      <c r="E150" s="32"/>
      <c r="F150" s="197" t="s">
        <v>162</v>
      </c>
      <c r="G150" s="32"/>
      <c r="H150" s="40" t="s">
        <v>85</v>
      </c>
      <c r="I150" s="39"/>
      <c r="J150" s="26"/>
      <c r="K150" s="28"/>
      <c r="L150" s="72"/>
      <c r="M150" s="72"/>
      <c r="N150" s="51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5.75" customHeight="1">
      <c r="A151" s="1">
        <v>150.0</v>
      </c>
      <c r="B151" s="16" t="s">
        <v>69</v>
      </c>
      <c r="C151" s="34" t="s">
        <v>379</v>
      </c>
      <c r="D151" s="20" t="s">
        <v>45</v>
      </c>
      <c r="E151" s="16"/>
      <c r="F151" s="41" t="s">
        <v>92</v>
      </c>
      <c r="G151" s="16"/>
      <c r="H151" s="20" t="s">
        <v>87</v>
      </c>
      <c r="I151" s="39"/>
      <c r="J151" s="26"/>
      <c r="K151" s="28"/>
      <c r="L151" s="72"/>
      <c r="M151" s="72"/>
      <c r="N151" s="51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5.75" customHeight="1">
      <c r="A152" s="1">
        <v>151.0</v>
      </c>
      <c r="B152" s="16" t="s">
        <v>69</v>
      </c>
      <c r="C152" s="60"/>
      <c r="D152" s="16"/>
      <c r="E152" s="16"/>
      <c r="F152" s="41" t="s">
        <v>79</v>
      </c>
      <c r="G152" s="16"/>
      <c r="H152" s="20" t="s">
        <v>87</v>
      </c>
      <c r="I152" s="39"/>
      <c r="J152" s="26"/>
      <c r="K152" s="28"/>
      <c r="L152" s="72"/>
      <c r="M152" s="72"/>
      <c r="N152" s="51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5.75" customHeight="1">
      <c r="A153" s="1">
        <v>152.0</v>
      </c>
      <c r="B153" s="16" t="s">
        <v>69</v>
      </c>
      <c r="C153" s="60"/>
      <c r="D153" s="16"/>
      <c r="E153" s="16"/>
      <c r="F153" s="41" t="s">
        <v>79</v>
      </c>
      <c r="G153" s="16"/>
      <c r="H153" s="20" t="s">
        <v>87</v>
      </c>
      <c r="I153" s="39"/>
      <c r="J153" s="26"/>
      <c r="K153" s="28"/>
      <c r="L153" s="72"/>
      <c r="M153" s="72"/>
      <c r="N153" s="51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5.75" customHeight="1">
      <c r="A154" s="1">
        <v>153.0</v>
      </c>
      <c r="B154" s="16" t="s">
        <v>69</v>
      </c>
      <c r="C154" s="60"/>
      <c r="D154" s="16"/>
      <c r="E154" s="16"/>
      <c r="F154" s="41" t="s">
        <v>79</v>
      </c>
      <c r="G154" s="16"/>
      <c r="H154" s="20" t="s">
        <v>87</v>
      </c>
      <c r="I154" s="39"/>
      <c r="J154" s="26"/>
      <c r="K154" s="28"/>
      <c r="L154" s="72"/>
      <c r="M154" s="72"/>
      <c r="N154" s="51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5.75" customHeight="1">
      <c r="A155" s="1">
        <v>154.0</v>
      </c>
      <c r="B155" s="16" t="s">
        <v>69</v>
      </c>
      <c r="C155" s="60"/>
      <c r="D155" s="16"/>
      <c r="E155" s="16"/>
      <c r="F155" s="41" t="s">
        <v>79</v>
      </c>
      <c r="G155" s="16"/>
      <c r="H155" s="20" t="s">
        <v>87</v>
      </c>
      <c r="I155" s="39"/>
      <c r="J155" s="26"/>
      <c r="K155" s="28"/>
      <c r="L155" s="72"/>
      <c r="M155" s="72"/>
      <c r="N155" s="51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5.75" customHeight="1">
      <c r="A156" s="1">
        <v>155.0</v>
      </c>
      <c r="B156" s="16" t="s">
        <v>69</v>
      </c>
      <c r="C156" s="60"/>
      <c r="D156" s="16"/>
      <c r="E156" s="16"/>
      <c r="F156" s="41" t="s">
        <v>79</v>
      </c>
      <c r="G156" s="16"/>
      <c r="H156" s="20" t="s">
        <v>87</v>
      </c>
      <c r="I156" s="39"/>
      <c r="J156" s="26"/>
      <c r="K156" s="28"/>
      <c r="L156" s="72"/>
      <c r="M156" s="72"/>
      <c r="N156" s="51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5.75" customHeight="1">
      <c r="A157" s="1">
        <v>156.0</v>
      </c>
      <c r="B157" s="16" t="s">
        <v>69</v>
      </c>
      <c r="C157" s="75" t="s">
        <v>385</v>
      </c>
      <c r="D157" s="40" t="s">
        <v>45</v>
      </c>
      <c r="E157" s="40" t="s">
        <v>522</v>
      </c>
      <c r="F157" s="109" t="s">
        <v>79</v>
      </c>
      <c r="G157" s="32"/>
      <c r="H157" s="40" t="s">
        <v>91</v>
      </c>
      <c r="I157" s="39"/>
      <c r="J157" s="26"/>
      <c r="K157" s="28"/>
      <c r="L157" s="72"/>
      <c r="M157" s="72"/>
      <c r="N157" s="51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5.75" customHeight="1">
      <c r="A158" s="1">
        <v>157.0</v>
      </c>
      <c r="B158" s="16" t="s">
        <v>69</v>
      </c>
      <c r="C158" s="75" t="s">
        <v>387</v>
      </c>
      <c r="D158" s="40" t="s">
        <v>45</v>
      </c>
      <c r="E158" s="40" t="s">
        <v>522</v>
      </c>
      <c r="F158" s="109" t="s">
        <v>79</v>
      </c>
      <c r="G158" s="32"/>
      <c r="H158" s="40" t="s">
        <v>91</v>
      </c>
      <c r="I158" s="39"/>
      <c r="J158" s="26"/>
      <c r="K158" s="28"/>
      <c r="L158" s="72"/>
      <c r="M158" s="72"/>
      <c r="N158" s="51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5.75" customHeight="1">
      <c r="A159" s="1">
        <v>158.0</v>
      </c>
      <c r="B159" s="16" t="s">
        <v>69</v>
      </c>
      <c r="C159" s="75" t="s">
        <v>388</v>
      </c>
      <c r="D159" s="32"/>
      <c r="E159" s="40" t="s">
        <v>522</v>
      </c>
      <c r="F159" s="109" t="s">
        <v>79</v>
      </c>
      <c r="G159" s="32"/>
      <c r="H159" s="40" t="s">
        <v>91</v>
      </c>
      <c r="I159" s="39"/>
      <c r="J159" s="26"/>
      <c r="K159" s="28"/>
      <c r="L159" s="72"/>
      <c r="M159" s="72"/>
      <c r="N159" s="51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5.75" customHeight="1">
      <c r="A160" s="1">
        <v>159.0</v>
      </c>
      <c r="B160" s="16" t="s">
        <v>69</v>
      </c>
      <c r="C160" s="225" t="s">
        <v>523</v>
      </c>
      <c r="D160" s="40" t="s">
        <v>45</v>
      </c>
      <c r="E160" s="40" t="s">
        <v>522</v>
      </c>
      <c r="F160" s="109" t="s">
        <v>122</v>
      </c>
      <c r="G160" s="32"/>
      <c r="H160" s="40" t="s">
        <v>91</v>
      </c>
      <c r="I160" s="39"/>
      <c r="J160" s="26"/>
      <c r="K160" s="28"/>
      <c r="L160" s="72"/>
      <c r="M160" s="72"/>
      <c r="N160" s="51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5.75" customHeight="1">
      <c r="A161" s="1">
        <v>160.0</v>
      </c>
      <c r="B161" s="16" t="s">
        <v>69</v>
      </c>
      <c r="C161" s="75" t="s">
        <v>390</v>
      </c>
      <c r="D161" s="32"/>
      <c r="E161" s="40" t="s">
        <v>522</v>
      </c>
      <c r="F161" s="109" t="s">
        <v>79</v>
      </c>
      <c r="G161" s="32"/>
      <c r="H161" s="40" t="s">
        <v>91</v>
      </c>
      <c r="I161" s="39"/>
      <c r="J161" s="26"/>
      <c r="K161" s="28"/>
      <c r="L161" s="72"/>
      <c r="M161" s="72"/>
      <c r="N161" s="51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5.75" customHeight="1">
      <c r="A162" s="1">
        <v>161.0</v>
      </c>
      <c r="B162" s="16" t="s">
        <v>69</v>
      </c>
      <c r="C162" s="75" t="s">
        <v>391</v>
      </c>
      <c r="D162" s="32"/>
      <c r="E162" s="40" t="s">
        <v>522</v>
      </c>
      <c r="F162" s="109" t="s">
        <v>79</v>
      </c>
      <c r="G162" s="32"/>
      <c r="H162" s="40" t="s">
        <v>91</v>
      </c>
      <c r="I162" s="39"/>
      <c r="J162" s="26"/>
      <c r="K162" s="28"/>
      <c r="L162" s="72"/>
      <c r="M162" s="72"/>
      <c r="N162" s="51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5.75" customHeight="1">
      <c r="A163" s="1">
        <v>162.0</v>
      </c>
      <c r="B163" s="16" t="s">
        <v>69</v>
      </c>
      <c r="C163" s="75" t="s">
        <v>392</v>
      </c>
      <c r="D163" s="32"/>
      <c r="E163" s="40" t="s">
        <v>522</v>
      </c>
      <c r="F163" s="109" t="s">
        <v>79</v>
      </c>
      <c r="G163" s="32"/>
      <c r="H163" s="40" t="s">
        <v>91</v>
      </c>
      <c r="I163" s="39"/>
      <c r="J163" s="26"/>
      <c r="K163" s="28"/>
      <c r="L163" s="72"/>
      <c r="M163" s="72"/>
      <c r="N163" s="51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5.75" customHeight="1">
      <c r="A164" s="1">
        <v>163.0</v>
      </c>
      <c r="B164" s="16" t="s">
        <v>69</v>
      </c>
      <c r="C164" s="75" t="s">
        <v>394</v>
      </c>
      <c r="D164" s="32"/>
      <c r="E164" s="40" t="s">
        <v>522</v>
      </c>
      <c r="F164" s="109" t="s">
        <v>79</v>
      </c>
      <c r="G164" s="32"/>
      <c r="H164" s="40" t="s">
        <v>91</v>
      </c>
      <c r="I164" s="39"/>
      <c r="J164" s="26"/>
      <c r="K164" s="28"/>
      <c r="L164" s="72"/>
      <c r="M164" s="72"/>
      <c r="N164" s="51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5.75" customHeight="1">
      <c r="A165" s="1">
        <v>164.0</v>
      </c>
      <c r="B165" s="16" t="s">
        <v>69</v>
      </c>
      <c r="C165" s="75" t="s">
        <v>395</v>
      </c>
      <c r="D165" s="32"/>
      <c r="E165" s="40" t="s">
        <v>522</v>
      </c>
      <c r="F165" s="40" t="s">
        <v>79</v>
      </c>
      <c r="G165" s="32"/>
      <c r="H165" s="40" t="s">
        <v>91</v>
      </c>
      <c r="I165" s="39"/>
      <c r="J165" s="26"/>
      <c r="K165" s="28"/>
      <c r="L165" s="72"/>
      <c r="M165" s="72"/>
      <c r="N165" s="51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5.75" customHeight="1">
      <c r="A166" s="1">
        <v>165.0</v>
      </c>
      <c r="B166" s="16" t="s">
        <v>69</v>
      </c>
      <c r="C166" s="75" t="s">
        <v>396</v>
      </c>
      <c r="D166" s="32"/>
      <c r="E166" s="40" t="s">
        <v>522</v>
      </c>
      <c r="F166" s="40" t="s">
        <v>79</v>
      </c>
      <c r="G166" s="32"/>
      <c r="H166" s="40" t="s">
        <v>91</v>
      </c>
      <c r="I166" s="39"/>
      <c r="J166" s="26"/>
      <c r="K166" s="28"/>
      <c r="L166" s="72"/>
      <c r="M166" s="72"/>
      <c r="N166" s="51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5.75" customHeight="1">
      <c r="A167" s="1">
        <v>166.0</v>
      </c>
      <c r="B167" s="16" t="s">
        <v>69</v>
      </c>
      <c r="C167" s="75" t="s">
        <v>397</v>
      </c>
      <c r="D167" s="32"/>
      <c r="E167" s="40" t="s">
        <v>522</v>
      </c>
      <c r="F167" s="40" t="s">
        <v>79</v>
      </c>
      <c r="G167" s="32"/>
      <c r="H167" s="40" t="s">
        <v>91</v>
      </c>
      <c r="I167" s="39"/>
      <c r="J167" s="26"/>
      <c r="K167" s="28"/>
      <c r="L167" s="72"/>
      <c r="M167" s="72"/>
      <c r="N167" s="51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5.75" customHeight="1">
      <c r="A168" s="1">
        <v>167.0</v>
      </c>
      <c r="B168" s="16" t="s">
        <v>69</v>
      </c>
      <c r="C168" s="75" t="s">
        <v>398</v>
      </c>
      <c r="D168" s="32"/>
      <c r="E168" s="40" t="s">
        <v>522</v>
      </c>
      <c r="F168" s="40" t="s">
        <v>79</v>
      </c>
      <c r="G168" s="32"/>
      <c r="H168" s="40" t="s">
        <v>91</v>
      </c>
      <c r="I168" s="39"/>
      <c r="J168" s="26"/>
      <c r="K168" s="28"/>
      <c r="L168" s="72"/>
      <c r="M168" s="72"/>
      <c r="N168" s="51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5.75" customHeight="1">
      <c r="A169" s="1">
        <v>168.0</v>
      </c>
      <c r="B169" s="16" t="s">
        <v>69</v>
      </c>
      <c r="C169" s="75" t="s">
        <v>399</v>
      </c>
      <c r="D169" s="32"/>
      <c r="E169" s="40" t="s">
        <v>522</v>
      </c>
      <c r="F169" s="40" t="s">
        <v>79</v>
      </c>
      <c r="G169" s="32"/>
      <c r="H169" s="40" t="s">
        <v>91</v>
      </c>
      <c r="I169" s="39"/>
      <c r="J169" s="26"/>
      <c r="K169" s="28"/>
      <c r="L169" s="72"/>
      <c r="M169" s="72"/>
      <c r="N169" s="51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5.75" customHeight="1">
      <c r="A170" s="1">
        <v>169.0</v>
      </c>
      <c r="B170" s="16" t="s">
        <v>69</v>
      </c>
      <c r="C170" s="75" t="s">
        <v>400</v>
      </c>
      <c r="D170" s="32"/>
      <c r="E170" s="40" t="s">
        <v>522</v>
      </c>
      <c r="F170" s="40" t="s">
        <v>79</v>
      </c>
      <c r="G170" s="32"/>
      <c r="H170" s="40" t="s">
        <v>91</v>
      </c>
      <c r="I170" s="39"/>
      <c r="J170" s="26"/>
      <c r="K170" s="28"/>
      <c r="L170" s="72"/>
      <c r="M170" s="72"/>
      <c r="N170" s="51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5.75" customHeight="1">
      <c r="A171" s="1">
        <v>170.0</v>
      </c>
      <c r="B171" s="16" t="s">
        <v>69</v>
      </c>
      <c r="C171" s="75" t="s">
        <v>401</v>
      </c>
      <c r="D171" s="32"/>
      <c r="E171" s="40" t="s">
        <v>522</v>
      </c>
      <c r="F171" s="40" t="s">
        <v>79</v>
      </c>
      <c r="G171" s="32"/>
      <c r="H171" s="40" t="s">
        <v>91</v>
      </c>
      <c r="I171" s="39"/>
      <c r="J171" s="26"/>
      <c r="K171" s="28"/>
      <c r="L171" s="72"/>
      <c r="M171" s="72"/>
      <c r="N171" s="51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5.75" customHeight="1">
      <c r="A172" s="1">
        <v>171.0</v>
      </c>
      <c r="B172" s="16" t="s">
        <v>69</v>
      </c>
      <c r="C172" s="75" t="s">
        <v>402</v>
      </c>
      <c r="D172" s="32"/>
      <c r="E172" s="40" t="s">
        <v>522</v>
      </c>
      <c r="F172" s="40" t="s">
        <v>79</v>
      </c>
      <c r="G172" s="32"/>
      <c r="H172" s="40" t="s">
        <v>91</v>
      </c>
      <c r="I172" s="39"/>
      <c r="J172" s="26"/>
      <c r="K172" s="28"/>
      <c r="L172" s="72"/>
      <c r="M172" s="72"/>
      <c r="N172" s="51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5.75" customHeight="1">
      <c r="A173" s="1">
        <v>172.0</v>
      </c>
      <c r="B173" s="16" t="s">
        <v>69</v>
      </c>
      <c r="C173" s="75" t="s">
        <v>403</v>
      </c>
      <c r="D173" s="40" t="s">
        <v>45</v>
      </c>
      <c r="E173" s="40" t="s">
        <v>522</v>
      </c>
      <c r="F173" s="40" t="s">
        <v>79</v>
      </c>
      <c r="G173" s="32"/>
      <c r="H173" s="40" t="s">
        <v>91</v>
      </c>
      <c r="I173" s="39"/>
      <c r="J173" s="26"/>
      <c r="K173" s="28"/>
      <c r="L173" s="72"/>
      <c r="M173" s="72"/>
      <c r="N173" s="51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5.75" customHeight="1">
      <c r="A174" s="1">
        <v>173.0</v>
      </c>
      <c r="B174" s="16" t="s">
        <v>69</v>
      </c>
      <c r="C174" s="75" t="s">
        <v>404</v>
      </c>
      <c r="D174" s="32" t="str">
        <f>IFERROR(__xludf.DUMMYFUNCTION("AI(""Fill an appropriate value for this cell based on the table context"")"),"L")</f>
        <v>L</v>
      </c>
      <c r="E174" s="40" t="s">
        <v>522</v>
      </c>
      <c r="F174" s="40" t="s">
        <v>79</v>
      </c>
      <c r="G174" s="32"/>
      <c r="H174" s="40" t="s">
        <v>91</v>
      </c>
      <c r="I174" s="39"/>
      <c r="J174" s="26"/>
      <c r="K174" s="28"/>
      <c r="L174" s="72"/>
      <c r="M174" s="72"/>
      <c r="N174" s="51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5.75" customHeight="1">
      <c r="A175" s="1">
        <v>174.0</v>
      </c>
      <c r="B175" s="16" t="s">
        <v>69</v>
      </c>
      <c r="C175" s="75" t="s">
        <v>405</v>
      </c>
      <c r="D175" s="32" t="str">
        <f>IFERROR(__xludf.DUMMYFUNCTION("AI(""Fill an appropriate value for this cell based on the table context"")"),"L")</f>
        <v>L</v>
      </c>
      <c r="E175" s="40" t="s">
        <v>522</v>
      </c>
      <c r="F175" s="40" t="s">
        <v>79</v>
      </c>
      <c r="G175" s="32"/>
      <c r="H175" s="40" t="s">
        <v>91</v>
      </c>
      <c r="I175" s="39"/>
      <c r="J175" s="26"/>
      <c r="K175" s="28"/>
      <c r="L175" s="72"/>
      <c r="M175" s="72"/>
      <c r="N175" s="51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5.75" customHeight="1">
      <c r="A176" s="1">
        <v>175.0</v>
      </c>
      <c r="B176" s="16" t="s">
        <v>69</v>
      </c>
      <c r="C176" s="75" t="s">
        <v>406</v>
      </c>
      <c r="D176" s="32"/>
      <c r="E176" s="40" t="s">
        <v>522</v>
      </c>
      <c r="F176" s="40" t="s">
        <v>79</v>
      </c>
      <c r="G176" s="32"/>
      <c r="H176" s="40" t="s">
        <v>91</v>
      </c>
      <c r="I176" s="39"/>
      <c r="J176" s="26"/>
      <c r="K176" s="28"/>
      <c r="L176" s="72"/>
      <c r="M176" s="72"/>
      <c r="N176" s="51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5.75" customHeight="1">
      <c r="A177" s="1">
        <v>176.0</v>
      </c>
      <c r="B177" s="16" t="s">
        <v>69</v>
      </c>
      <c r="C177" s="75" t="s">
        <v>407</v>
      </c>
      <c r="D177" s="32"/>
      <c r="E177" s="40" t="s">
        <v>522</v>
      </c>
      <c r="F177" s="40" t="s">
        <v>79</v>
      </c>
      <c r="G177" s="32"/>
      <c r="H177" s="40" t="s">
        <v>91</v>
      </c>
      <c r="I177" s="39"/>
      <c r="J177" s="26"/>
      <c r="K177" s="28"/>
      <c r="L177" s="72"/>
      <c r="M177" s="72"/>
      <c r="N177" s="51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5.75" customHeight="1">
      <c r="A178" s="1">
        <v>177.0</v>
      </c>
      <c r="B178" s="16" t="s">
        <v>69</v>
      </c>
      <c r="C178" s="75" t="s">
        <v>408</v>
      </c>
      <c r="D178" s="32"/>
      <c r="E178" s="40" t="s">
        <v>522</v>
      </c>
      <c r="F178" s="40" t="s">
        <v>79</v>
      </c>
      <c r="G178" s="32"/>
      <c r="H178" s="40" t="s">
        <v>91</v>
      </c>
      <c r="I178" s="39"/>
      <c r="J178" s="26"/>
      <c r="K178" s="28"/>
      <c r="L178" s="72"/>
      <c r="M178" s="72"/>
      <c r="N178" s="51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5.75" customHeight="1">
      <c r="A179" s="1">
        <v>178.0</v>
      </c>
      <c r="B179" s="16" t="s">
        <v>69</v>
      </c>
      <c r="C179" s="75" t="s">
        <v>410</v>
      </c>
      <c r="D179" s="32"/>
      <c r="E179" s="40" t="s">
        <v>522</v>
      </c>
      <c r="F179" s="40" t="s">
        <v>79</v>
      </c>
      <c r="G179" s="32"/>
      <c r="H179" s="40" t="s">
        <v>91</v>
      </c>
      <c r="I179" s="39"/>
      <c r="J179" s="26"/>
      <c r="K179" s="28"/>
      <c r="L179" s="72"/>
      <c r="M179" s="72"/>
      <c r="N179" s="51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5.75" customHeight="1">
      <c r="A180" s="1">
        <v>179.0</v>
      </c>
      <c r="B180" s="16" t="s">
        <v>69</v>
      </c>
      <c r="C180" s="75" t="s">
        <v>411</v>
      </c>
      <c r="D180" s="32"/>
      <c r="E180" s="40" t="s">
        <v>522</v>
      </c>
      <c r="F180" s="40" t="s">
        <v>79</v>
      </c>
      <c r="G180" s="32"/>
      <c r="H180" s="40" t="s">
        <v>91</v>
      </c>
      <c r="I180" s="39"/>
      <c r="J180" s="26"/>
      <c r="K180" s="28"/>
      <c r="L180" s="72"/>
      <c r="M180" s="72"/>
      <c r="N180" s="51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5.75" customHeight="1">
      <c r="A181" s="1">
        <v>180.0</v>
      </c>
      <c r="B181" s="16" t="s">
        <v>69</v>
      </c>
      <c r="C181" s="75" t="s">
        <v>412</v>
      </c>
      <c r="D181" s="40" t="s">
        <v>45</v>
      </c>
      <c r="E181" s="40" t="s">
        <v>522</v>
      </c>
      <c r="F181" s="40" t="s">
        <v>79</v>
      </c>
      <c r="G181" s="32"/>
      <c r="H181" s="40" t="s">
        <v>91</v>
      </c>
      <c r="I181" s="39"/>
      <c r="J181" s="26"/>
      <c r="K181" s="28"/>
      <c r="L181" s="72"/>
      <c r="M181" s="72"/>
      <c r="N181" s="51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5.75" customHeight="1">
      <c r="A182" s="1">
        <v>181.0</v>
      </c>
      <c r="B182" s="16" t="s">
        <v>69</v>
      </c>
      <c r="C182" s="75" t="s">
        <v>413</v>
      </c>
      <c r="D182" s="32"/>
      <c r="E182" s="40" t="s">
        <v>522</v>
      </c>
      <c r="F182" s="40" t="s">
        <v>79</v>
      </c>
      <c r="G182" s="32"/>
      <c r="H182" s="40" t="s">
        <v>91</v>
      </c>
      <c r="I182" s="39"/>
      <c r="J182" s="26"/>
      <c r="K182" s="28"/>
      <c r="L182" s="72"/>
      <c r="M182" s="72"/>
      <c r="N182" s="51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5.75" customHeight="1">
      <c r="A183" s="1">
        <v>182.0</v>
      </c>
      <c r="B183" s="16" t="s">
        <v>69</v>
      </c>
      <c r="C183" s="75" t="s">
        <v>414</v>
      </c>
      <c r="D183" s="32"/>
      <c r="E183" s="40" t="s">
        <v>522</v>
      </c>
      <c r="F183" s="40" t="s">
        <v>79</v>
      </c>
      <c r="G183" s="32"/>
      <c r="H183" s="40" t="s">
        <v>91</v>
      </c>
      <c r="I183" s="39"/>
      <c r="J183" s="26"/>
      <c r="K183" s="28"/>
      <c r="L183" s="72"/>
      <c r="M183" s="72"/>
      <c r="N183" s="51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5.75" customHeight="1">
      <c r="A184" s="1">
        <v>183.0</v>
      </c>
      <c r="B184" s="16" t="s">
        <v>69</v>
      </c>
      <c r="C184" s="75" t="s">
        <v>416</v>
      </c>
      <c r="D184" s="32"/>
      <c r="E184" s="40" t="s">
        <v>522</v>
      </c>
      <c r="F184" s="40" t="s">
        <v>79</v>
      </c>
      <c r="G184" s="32"/>
      <c r="H184" s="40" t="s">
        <v>91</v>
      </c>
      <c r="I184" s="39"/>
      <c r="J184" s="26"/>
      <c r="K184" s="28"/>
      <c r="L184" s="72"/>
      <c r="M184" s="72"/>
      <c r="N184" s="51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5.75" customHeight="1">
      <c r="A185" s="1">
        <v>184.0</v>
      </c>
      <c r="B185" s="16" t="s">
        <v>69</v>
      </c>
      <c r="C185" s="75" t="s">
        <v>417</v>
      </c>
      <c r="D185" s="32"/>
      <c r="E185" s="40" t="s">
        <v>522</v>
      </c>
      <c r="F185" s="40" t="s">
        <v>79</v>
      </c>
      <c r="G185" s="32"/>
      <c r="H185" s="40" t="s">
        <v>91</v>
      </c>
      <c r="I185" s="39"/>
      <c r="J185" s="26"/>
      <c r="K185" s="28"/>
      <c r="L185" s="72"/>
      <c r="M185" s="72"/>
      <c r="N185" s="51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5.75" customHeight="1">
      <c r="A186" s="1">
        <v>185.0</v>
      </c>
      <c r="B186" s="16" t="s">
        <v>69</v>
      </c>
      <c r="C186" s="75" t="s">
        <v>418</v>
      </c>
      <c r="D186" s="32"/>
      <c r="E186" s="40" t="s">
        <v>522</v>
      </c>
      <c r="F186" s="40" t="s">
        <v>79</v>
      </c>
      <c r="G186" s="32"/>
      <c r="H186" s="40" t="s">
        <v>91</v>
      </c>
      <c r="I186" s="39"/>
      <c r="J186" s="26"/>
      <c r="K186" s="28"/>
      <c r="L186" s="72"/>
      <c r="M186" s="72"/>
      <c r="N186" s="51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5.75" customHeight="1">
      <c r="A187" s="1">
        <v>186.0</v>
      </c>
      <c r="B187" s="16" t="s">
        <v>69</v>
      </c>
      <c r="C187" s="16" t="s">
        <v>524</v>
      </c>
      <c r="D187" s="62" t="s">
        <v>45</v>
      </c>
      <c r="E187" s="62" t="s">
        <v>525</v>
      </c>
      <c r="F187" s="62" t="s">
        <v>79</v>
      </c>
      <c r="G187" s="92"/>
      <c r="H187" s="62" t="s">
        <v>93</v>
      </c>
      <c r="I187" s="39"/>
      <c r="J187" s="26"/>
      <c r="K187" s="28"/>
      <c r="L187" s="72"/>
      <c r="M187" s="72"/>
      <c r="N187" s="51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5.75" customHeight="1">
      <c r="A188" s="1">
        <v>187.0</v>
      </c>
      <c r="B188" s="16" t="s">
        <v>69</v>
      </c>
      <c r="C188" s="16" t="s">
        <v>526</v>
      </c>
      <c r="D188" s="62" t="s">
        <v>45</v>
      </c>
      <c r="E188" s="62" t="s">
        <v>525</v>
      </c>
      <c r="F188" s="62" t="s">
        <v>79</v>
      </c>
      <c r="G188" s="92"/>
      <c r="H188" s="62" t="s">
        <v>93</v>
      </c>
      <c r="I188" s="39"/>
      <c r="J188" s="26"/>
      <c r="K188" s="28"/>
      <c r="L188" s="72"/>
      <c r="M188" s="72"/>
      <c r="N188" s="51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5.75" customHeight="1">
      <c r="A189" s="1">
        <v>188.0</v>
      </c>
      <c r="B189" s="16" t="s">
        <v>69</v>
      </c>
      <c r="C189" s="16" t="s">
        <v>527</v>
      </c>
      <c r="D189" s="62" t="s">
        <v>45</v>
      </c>
      <c r="E189" s="62" t="s">
        <v>525</v>
      </c>
      <c r="F189" s="62" t="s">
        <v>79</v>
      </c>
      <c r="G189" s="92"/>
      <c r="H189" s="62" t="s">
        <v>93</v>
      </c>
      <c r="I189" s="39"/>
      <c r="J189" s="26"/>
      <c r="K189" s="28"/>
      <c r="L189" s="72"/>
      <c r="M189" s="72"/>
      <c r="N189" s="51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5.75" customHeight="1">
      <c r="A190" s="1">
        <v>189.0</v>
      </c>
      <c r="B190" s="16" t="s">
        <v>69</v>
      </c>
      <c r="C190" s="16" t="s">
        <v>528</v>
      </c>
      <c r="D190" s="62" t="s">
        <v>45</v>
      </c>
      <c r="E190" s="62" t="s">
        <v>525</v>
      </c>
      <c r="F190" s="62" t="s">
        <v>79</v>
      </c>
      <c r="G190" s="92"/>
      <c r="H190" s="62" t="s">
        <v>93</v>
      </c>
      <c r="I190" s="39"/>
      <c r="J190" s="26"/>
      <c r="K190" s="28"/>
      <c r="L190" s="72"/>
      <c r="M190" s="72"/>
      <c r="N190" s="51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5.75" customHeight="1">
      <c r="A191" s="1">
        <v>190.0</v>
      </c>
      <c r="B191" s="16" t="s">
        <v>69</v>
      </c>
      <c r="C191" s="16" t="s">
        <v>529</v>
      </c>
      <c r="D191" s="62" t="s">
        <v>45</v>
      </c>
      <c r="E191" s="62" t="s">
        <v>525</v>
      </c>
      <c r="F191" s="62" t="s">
        <v>79</v>
      </c>
      <c r="G191" s="92"/>
      <c r="H191" s="62" t="s">
        <v>93</v>
      </c>
      <c r="I191" s="39"/>
      <c r="J191" s="26"/>
      <c r="K191" s="28"/>
      <c r="L191" s="72"/>
      <c r="M191" s="72"/>
      <c r="N191" s="51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5.75" customHeight="1">
      <c r="A192" s="1">
        <v>191.0</v>
      </c>
      <c r="B192" s="16" t="s">
        <v>69</v>
      </c>
      <c r="C192" s="16" t="s">
        <v>530</v>
      </c>
      <c r="D192" s="62" t="s">
        <v>45</v>
      </c>
      <c r="E192" s="62" t="s">
        <v>525</v>
      </c>
      <c r="F192" s="62" t="s">
        <v>79</v>
      </c>
      <c r="G192" s="92"/>
      <c r="H192" s="62" t="s">
        <v>93</v>
      </c>
      <c r="I192" s="39"/>
      <c r="J192" s="26"/>
      <c r="K192" s="28"/>
      <c r="L192" s="72"/>
      <c r="M192" s="72"/>
      <c r="N192" s="51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5.75" customHeight="1">
      <c r="A193" s="1">
        <v>192.0</v>
      </c>
      <c r="B193" s="16" t="s">
        <v>69</v>
      </c>
      <c r="C193" s="1"/>
      <c r="D193" s="108" t="s">
        <v>79</v>
      </c>
      <c r="E193" s="112">
        <f>COUNTIF(F:F,"Random")</f>
        <v>148</v>
      </c>
      <c r="F193" s="151"/>
      <c r="G193" s="39"/>
      <c r="H193" s="39"/>
      <c r="I193" s="39"/>
      <c r="J193" s="26"/>
      <c r="K193" s="28"/>
      <c r="L193" s="72"/>
      <c r="M193" s="72"/>
      <c r="N193" s="51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5.75" customHeight="1">
      <c r="A194" s="1"/>
      <c r="B194" s="39"/>
      <c r="C194" s="1"/>
      <c r="D194" s="119" t="s">
        <v>531</v>
      </c>
      <c r="E194" s="112">
        <f>COUNTIF(F:F,"D*")</f>
        <v>2</v>
      </c>
      <c r="F194" s="151"/>
      <c r="G194" s="39"/>
      <c r="H194" s="39"/>
      <c r="I194" s="39"/>
      <c r="J194" s="26"/>
      <c r="K194" s="28"/>
      <c r="L194" s="72"/>
      <c r="M194" s="72"/>
      <c r="N194" s="51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5.75" customHeight="1">
      <c r="A195" s="1"/>
      <c r="B195" s="39"/>
      <c r="C195" s="1"/>
      <c r="D195" s="108" t="s">
        <v>301</v>
      </c>
      <c r="E195" s="112">
        <f>COUNTIF(F:F,"小食餐盒")</f>
        <v>18</v>
      </c>
      <c r="F195" s="151"/>
      <c r="G195" s="39"/>
      <c r="H195" s="39"/>
      <c r="I195" s="39"/>
      <c r="J195" s="26"/>
      <c r="K195" s="28"/>
      <c r="L195" s="72"/>
      <c r="M195" s="72"/>
      <c r="N195" s="51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5.75" customHeight="1">
      <c r="A196" s="1"/>
      <c r="B196" s="39"/>
      <c r="C196" s="1"/>
      <c r="D196" s="108" t="s">
        <v>386</v>
      </c>
      <c r="E196" s="112">
        <f>COUNTIF(F:F,"嘉*)")</f>
        <v>3</v>
      </c>
      <c r="F196" s="39"/>
      <c r="G196" s="39"/>
      <c r="H196" s="39"/>
      <c r="I196" s="39"/>
      <c r="J196" s="26"/>
      <c r="K196" s="28"/>
      <c r="L196" s="72"/>
      <c r="M196" s="72"/>
      <c r="N196" s="51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5.75" customHeight="1">
      <c r="A197" s="1"/>
      <c r="B197" s="39"/>
      <c r="C197" s="1"/>
      <c r="D197" s="151"/>
      <c r="E197" s="226">
        <f>sum(E193:E196)</f>
        <v>171</v>
      </c>
      <c r="F197" s="39"/>
      <c r="G197" s="39"/>
      <c r="H197" s="39"/>
      <c r="I197" s="39"/>
      <c r="J197" s="26"/>
      <c r="K197" s="28"/>
      <c r="L197" s="72"/>
      <c r="M197" s="72"/>
      <c r="N197" s="51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5.75" customHeight="1">
      <c r="A198" s="1"/>
      <c r="B198" s="39"/>
      <c r="C198" s="1"/>
      <c r="D198" s="119" t="s">
        <v>532</v>
      </c>
      <c r="E198" s="112">
        <f>COUNTIF(F:F,"午餐時間無需當值")</f>
        <v>20</v>
      </c>
      <c r="F198" s="39"/>
      <c r="G198" s="39"/>
      <c r="H198" s="39"/>
      <c r="I198" s="39"/>
      <c r="J198" s="26"/>
      <c r="K198" s="28"/>
      <c r="L198" s="72"/>
      <c r="M198" s="72"/>
      <c r="N198" s="51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5.75" customHeight="1">
      <c r="A199" s="1"/>
      <c r="B199" s="39"/>
      <c r="C199" s="1"/>
      <c r="D199" s="39"/>
      <c r="E199" s="39">
        <f>E198+E197</f>
        <v>191</v>
      </c>
      <c r="F199" s="39"/>
      <c r="G199" s="39"/>
      <c r="H199" s="39"/>
      <c r="I199" s="39"/>
      <c r="J199" s="26"/>
      <c r="K199" s="28"/>
      <c r="L199" s="72"/>
      <c r="M199" s="72"/>
      <c r="N199" s="51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5.75" customHeight="1">
      <c r="A200" s="1"/>
      <c r="B200" s="39"/>
      <c r="C200" s="1"/>
      <c r="D200" s="163"/>
      <c r="E200" s="163"/>
      <c r="F200" s="39"/>
      <c r="G200" s="39"/>
      <c r="H200" s="39"/>
      <c r="I200" s="39"/>
      <c r="J200" s="26"/>
      <c r="K200" s="28"/>
      <c r="L200" s="72"/>
      <c r="M200" s="72"/>
      <c r="N200" s="51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5.75" customHeight="1">
      <c r="A201" s="1"/>
      <c r="B201" s="39"/>
      <c r="C201" s="1"/>
      <c r="D201" s="39"/>
      <c r="E201" s="39"/>
      <c r="F201" s="39"/>
      <c r="G201" s="39"/>
      <c r="H201" s="39"/>
      <c r="I201" s="39"/>
      <c r="J201" s="26"/>
      <c r="K201" s="28"/>
      <c r="L201" s="72"/>
      <c r="M201" s="72"/>
      <c r="N201" s="51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5.75" customHeight="1">
      <c r="A202" s="1"/>
      <c r="B202" s="39"/>
      <c r="C202" s="1"/>
      <c r="D202" s="39"/>
      <c r="E202" s="39"/>
      <c r="F202" s="39"/>
      <c r="G202" s="39"/>
      <c r="H202" s="39"/>
      <c r="I202" s="39"/>
      <c r="J202" s="26"/>
      <c r="K202" s="28"/>
      <c r="L202" s="72"/>
      <c r="M202" s="72"/>
      <c r="N202" s="51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5.75" customHeight="1">
      <c r="A203" s="1"/>
      <c r="B203" s="39"/>
      <c r="C203" s="1"/>
      <c r="D203" s="39"/>
      <c r="E203" s="163"/>
      <c r="F203" s="39"/>
      <c r="G203" s="39"/>
      <c r="H203" s="39"/>
      <c r="I203" s="39"/>
      <c r="J203" s="26"/>
      <c r="K203" s="28"/>
      <c r="L203" s="72"/>
      <c r="M203" s="72"/>
      <c r="N203" s="51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5.75" customHeight="1">
      <c r="A204" s="1"/>
      <c r="B204" s="39"/>
      <c r="C204" s="1"/>
      <c r="D204" s="39"/>
      <c r="E204" s="163"/>
      <c r="F204" s="39"/>
      <c r="G204" s="39"/>
      <c r="H204" s="39"/>
      <c r="I204" s="39"/>
      <c r="J204" s="26"/>
      <c r="K204" s="28"/>
      <c r="L204" s="72"/>
      <c r="M204" s="72"/>
      <c r="N204" s="51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5.75" customHeight="1">
      <c r="A205" s="1"/>
      <c r="B205" s="39"/>
      <c r="C205" s="1"/>
      <c r="D205" s="39"/>
      <c r="E205" s="163"/>
      <c r="F205" s="39"/>
      <c r="G205" s="39"/>
      <c r="H205" s="39"/>
      <c r="I205" s="39"/>
      <c r="J205" s="26"/>
      <c r="K205" s="28"/>
      <c r="L205" s="72"/>
      <c r="M205" s="72"/>
      <c r="N205" s="51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5.75" customHeight="1">
      <c r="A206" s="1"/>
      <c r="B206" s="39"/>
      <c r="C206" s="1"/>
      <c r="D206" s="39"/>
      <c r="E206" s="39"/>
      <c r="F206" s="39"/>
      <c r="G206" s="39"/>
      <c r="H206" s="39"/>
      <c r="I206" s="39"/>
      <c r="J206" s="26"/>
      <c r="K206" s="28"/>
      <c r="L206" s="72"/>
      <c r="M206" s="72"/>
      <c r="N206" s="51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5.75" customHeight="1">
      <c r="A207" s="1"/>
      <c r="B207" s="39"/>
      <c r="C207" s="1"/>
      <c r="D207" s="39"/>
      <c r="E207" s="39"/>
      <c r="F207" s="39"/>
      <c r="G207" s="39"/>
      <c r="H207" s="39"/>
      <c r="I207" s="39"/>
      <c r="J207" s="26"/>
      <c r="K207" s="28"/>
      <c r="L207" s="72"/>
      <c r="M207" s="72"/>
      <c r="N207" s="51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5.75" customHeight="1">
      <c r="A208" s="1"/>
      <c r="B208" s="39"/>
      <c r="C208" s="1"/>
      <c r="D208" s="39"/>
      <c r="E208" s="39"/>
      <c r="F208" s="39"/>
      <c r="G208" s="39"/>
      <c r="H208" s="39"/>
      <c r="I208" s="39"/>
      <c r="J208" s="26"/>
      <c r="K208" s="28"/>
      <c r="L208" s="72"/>
      <c r="M208" s="72"/>
      <c r="N208" s="51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5.75" customHeight="1">
      <c r="A209" s="1"/>
      <c r="B209" s="39"/>
      <c r="C209" s="1"/>
      <c r="D209" s="39"/>
      <c r="E209" s="39"/>
      <c r="F209" s="39"/>
      <c r="G209" s="39"/>
      <c r="H209" s="39"/>
      <c r="I209" s="39"/>
      <c r="J209" s="26"/>
      <c r="K209" s="28"/>
      <c r="L209" s="72"/>
      <c r="M209" s="72"/>
      <c r="N209" s="51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5.75" customHeight="1">
      <c r="A210" s="1"/>
      <c r="B210" s="39"/>
      <c r="C210" s="1"/>
      <c r="D210" s="39"/>
      <c r="E210" s="39"/>
      <c r="F210" s="39"/>
      <c r="G210" s="39"/>
      <c r="H210" s="39"/>
      <c r="I210" s="39"/>
      <c r="J210" s="26"/>
      <c r="K210" s="28"/>
      <c r="L210" s="72"/>
      <c r="M210" s="72"/>
      <c r="N210" s="51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5.75" customHeight="1">
      <c r="A211" s="1"/>
      <c r="B211" s="39"/>
      <c r="C211" s="1"/>
      <c r="D211" s="39"/>
      <c r="E211" s="39"/>
      <c r="F211" s="39"/>
      <c r="G211" s="39"/>
      <c r="H211" s="39"/>
      <c r="I211" s="39"/>
      <c r="J211" s="26"/>
      <c r="K211" s="28"/>
      <c r="L211" s="72"/>
      <c r="M211" s="72"/>
      <c r="N211" s="51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5.75" customHeight="1">
      <c r="A212" s="39"/>
      <c r="B212" s="39"/>
      <c r="C212" s="1"/>
      <c r="D212" s="39"/>
      <c r="E212" s="39"/>
      <c r="F212" s="39"/>
      <c r="G212" s="39"/>
      <c r="H212" s="39"/>
      <c r="I212" s="39"/>
      <c r="J212" s="26"/>
      <c r="K212" s="28"/>
      <c r="L212" s="72"/>
      <c r="M212" s="72"/>
      <c r="N212" s="51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5.75" customHeight="1">
      <c r="A213" s="39"/>
      <c r="B213" s="39"/>
      <c r="C213" s="1"/>
      <c r="D213" s="39"/>
      <c r="E213" s="39"/>
      <c r="F213" s="39"/>
      <c r="G213" s="39"/>
      <c r="H213" s="39"/>
      <c r="I213" s="39"/>
      <c r="J213" s="26"/>
      <c r="K213" s="28"/>
      <c r="L213" s="72"/>
      <c r="M213" s="72"/>
      <c r="N213" s="51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5.75" customHeight="1">
      <c r="A214" s="39"/>
      <c r="B214" s="39"/>
      <c r="C214" s="1"/>
      <c r="D214" s="39"/>
      <c r="E214" s="39"/>
      <c r="F214" s="39"/>
      <c r="G214" s="39"/>
      <c r="H214" s="39"/>
      <c r="I214" s="39"/>
      <c r="J214" s="26"/>
      <c r="K214" s="28"/>
      <c r="L214" s="72"/>
      <c r="M214" s="72"/>
      <c r="N214" s="51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5.75" customHeight="1">
      <c r="A215" s="39"/>
      <c r="B215" s="39"/>
      <c r="C215" s="1"/>
      <c r="D215" s="39"/>
      <c r="E215" s="39"/>
      <c r="F215" s="39"/>
      <c r="G215" s="39"/>
      <c r="H215" s="39"/>
      <c r="I215" s="39"/>
      <c r="J215" s="26"/>
      <c r="K215" s="28"/>
      <c r="L215" s="72"/>
      <c r="M215" s="72"/>
      <c r="N215" s="51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ht="15.75" customHeight="1">
      <c r="A216" s="39"/>
      <c r="B216" s="39"/>
      <c r="C216" s="1"/>
      <c r="D216" s="39"/>
      <c r="E216" s="39"/>
      <c r="F216" s="39"/>
      <c r="G216" s="39"/>
      <c r="H216" s="39"/>
      <c r="I216" s="39"/>
      <c r="J216" s="26"/>
      <c r="K216" s="28"/>
      <c r="L216" s="72"/>
      <c r="M216" s="72"/>
      <c r="N216" s="51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ht="15.75" customHeight="1">
      <c r="A217" s="39"/>
      <c r="B217" s="39"/>
      <c r="C217" s="1"/>
      <c r="D217" s="39"/>
      <c r="E217" s="39"/>
      <c r="F217" s="39"/>
      <c r="G217" s="39"/>
      <c r="H217" s="39"/>
      <c r="I217" s="39"/>
      <c r="J217" s="26"/>
      <c r="K217" s="28"/>
      <c r="L217" s="72"/>
      <c r="M217" s="72"/>
      <c r="N217" s="51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ht="15.75" customHeight="1">
      <c r="A218" s="39"/>
      <c r="B218" s="39"/>
      <c r="C218" s="1"/>
      <c r="D218" s="39"/>
      <c r="E218" s="39"/>
      <c r="F218" s="39"/>
      <c r="G218" s="39"/>
      <c r="H218" s="39"/>
      <c r="I218" s="39"/>
      <c r="J218" s="26"/>
      <c r="K218" s="28"/>
      <c r="L218" s="72"/>
      <c r="M218" s="72"/>
      <c r="N218" s="51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ht="15.75" customHeight="1">
      <c r="A219" s="39"/>
      <c r="B219" s="39"/>
      <c r="C219" s="1"/>
      <c r="D219" s="39"/>
      <c r="E219" s="39"/>
      <c r="F219" s="39"/>
      <c r="G219" s="39"/>
      <c r="H219" s="39"/>
      <c r="I219" s="39"/>
      <c r="J219" s="26"/>
      <c r="K219" s="28"/>
      <c r="L219" s="72"/>
      <c r="M219" s="72"/>
      <c r="N219" s="51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ht="15.75" customHeight="1">
      <c r="A220" s="39"/>
      <c r="B220" s="39"/>
      <c r="C220" s="1"/>
      <c r="D220" s="39"/>
      <c r="E220" s="39"/>
      <c r="F220" s="39"/>
      <c r="G220" s="39"/>
      <c r="H220" s="39"/>
      <c r="I220" s="39"/>
      <c r="J220" s="26"/>
      <c r="K220" s="28"/>
      <c r="L220" s="72"/>
      <c r="M220" s="72"/>
      <c r="N220" s="51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ht="15.75" customHeight="1">
      <c r="A221" s="39"/>
      <c r="B221" s="39"/>
      <c r="C221" s="1"/>
      <c r="D221" s="39"/>
      <c r="E221" s="39"/>
      <c r="F221" s="39"/>
      <c r="G221" s="39"/>
      <c r="H221" s="39"/>
      <c r="I221" s="39"/>
      <c r="J221" s="26"/>
      <c r="K221" s="28"/>
      <c r="L221" s="72"/>
      <c r="M221" s="72"/>
      <c r="N221" s="51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ht="15.75" customHeight="1">
      <c r="A222" s="39"/>
      <c r="B222" s="39"/>
      <c r="C222" s="1"/>
      <c r="D222" s="39"/>
      <c r="E222" s="39"/>
      <c r="F222" s="39"/>
      <c r="G222" s="39"/>
      <c r="H222" s="39"/>
      <c r="I222" s="39"/>
      <c r="J222" s="26"/>
      <c r="K222" s="28"/>
      <c r="L222" s="72"/>
      <c r="M222" s="72"/>
      <c r="N222" s="51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ht="15.75" customHeight="1">
      <c r="A223" s="39"/>
      <c r="B223" s="39"/>
      <c r="C223" s="1"/>
      <c r="D223" s="39"/>
      <c r="E223" s="39"/>
      <c r="F223" s="39"/>
      <c r="G223" s="39"/>
      <c r="H223" s="39"/>
      <c r="I223" s="39"/>
      <c r="J223" s="26"/>
      <c r="K223" s="28"/>
      <c r="L223" s="72"/>
      <c r="M223" s="72"/>
      <c r="N223" s="51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ht="15.75" customHeight="1">
      <c r="A224" s="39"/>
      <c r="B224" s="39"/>
      <c r="C224" s="1"/>
      <c r="D224" s="39"/>
      <c r="E224" s="39"/>
      <c r="F224" s="39"/>
      <c r="G224" s="39"/>
      <c r="H224" s="39"/>
      <c r="I224" s="39"/>
      <c r="J224" s="26"/>
      <c r="K224" s="28"/>
      <c r="L224" s="72"/>
      <c r="M224" s="72"/>
      <c r="N224" s="51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ht="15.75" customHeight="1">
      <c r="A225" s="39"/>
      <c r="B225" s="39"/>
      <c r="C225" s="1"/>
      <c r="D225" s="39"/>
      <c r="E225" s="39"/>
      <c r="F225" s="39"/>
      <c r="G225" s="39"/>
      <c r="H225" s="39"/>
      <c r="I225" s="39"/>
      <c r="J225" s="26"/>
      <c r="K225" s="28"/>
      <c r="L225" s="72"/>
      <c r="M225" s="72"/>
      <c r="N225" s="51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ht="15.75" customHeight="1">
      <c r="A226" s="39"/>
      <c r="B226" s="39"/>
      <c r="C226" s="1"/>
      <c r="D226" s="39"/>
      <c r="E226" s="39"/>
      <c r="F226" s="39"/>
      <c r="G226" s="39"/>
      <c r="H226" s="39"/>
      <c r="I226" s="39"/>
      <c r="J226" s="26"/>
      <c r="K226" s="28"/>
      <c r="L226" s="72"/>
      <c r="M226" s="72"/>
      <c r="N226" s="51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ht="15.75" customHeight="1">
      <c r="A227" s="39"/>
      <c r="B227" s="39"/>
      <c r="C227" s="1"/>
      <c r="D227" s="39"/>
      <c r="E227" s="39"/>
      <c r="F227" s="39"/>
      <c r="G227" s="39"/>
      <c r="H227" s="39"/>
      <c r="I227" s="39"/>
      <c r="J227" s="26"/>
      <c r="K227" s="28"/>
      <c r="L227" s="72"/>
      <c r="M227" s="72"/>
      <c r="N227" s="51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ht="15.75" customHeight="1">
      <c r="A228" s="39"/>
      <c r="B228" s="39"/>
      <c r="C228" s="1"/>
      <c r="D228" s="39"/>
      <c r="E228" s="39"/>
      <c r="F228" s="39"/>
      <c r="G228" s="39"/>
      <c r="H228" s="39"/>
      <c r="I228" s="39"/>
      <c r="J228" s="26"/>
      <c r="K228" s="28"/>
      <c r="L228" s="72"/>
      <c r="M228" s="72"/>
      <c r="N228" s="51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ht="15.75" customHeight="1">
      <c r="A229" s="39"/>
      <c r="B229" s="39"/>
      <c r="C229" s="1"/>
      <c r="D229" s="39"/>
      <c r="E229" s="39"/>
      <c r="F229" s="39"/>
      <c r="G229" s="39"/>
      <c r="H229" s="39"/>
      <c r="I229" s="39"/>
      <c r="J229" s="26"/>
      <c r="K229" s="28"/>
      <c r="L229" s="72"/>
      <c r="M229" s="72"/>
      <c r="N229" s="51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ht="15.75" customHeight="1">
      <c r="A230" s="39"/>
      <c r="B230" s="39"/>
      <c r="C230" s="1"/>
      <c r="D230" s="39"/>
      <c r="E230" s="39"/>
      <c r="F230" s="39"/>
      <c r="G230" s="39"/>
      <c r="H230" s="39"/>
      <c r="I230" s="39"/>
      <c r="J230" s="26"/>
      <c r="K230" s="28"/>
      <c r="L230" s="72"/>
      <c r="M230" s="72"/>
      <c r="N230" s="51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ht="15.75" customHeight="1">
      <c r="A231" s="39"/>
      <c r="B231" s="39"/>
      <c r="C231" s="1"/>
      <c r="D231" s="39"/>
      <c r="E231" s="39"/>
      <c r="F231" s="39"/>
      <c r="G231" s="39"/>
      <c r="H231" s="39"/>
      <c r="I231" s="39"/>
      <c r="J231" s="26"/>
      <c r="K231" s="28"/>
      <c r="L231" s="72"/>
      <c r="M231" s="72"/>
      <c r="N231" s="51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ht="15.75" customHeight="1">
      <c r="A232" s="39"/>
      <c r="B232" s="39"/>
      <c r="C232" s="1"/>
      <c r="D232" s="39"/>
      <c r="E232" s="39"/>
      <c r="F232" s="39"/>
      <c r="G232" s="39"/>
      <c r="H232" s="39"/>
      <c r="I232" s="39"/>
      <c r="J232" s="26"/>
      <c r="K232" s="28"/>
      <c r="L232" s="72"/>
      <c r="M232" s="72"/>
      <c r="N232" s="51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ht="15.75" customHeight="1">
      <c r="A233" s="39"/>
      <c r="B233" s="39"/>
      <c r="C233" s="1"/>
      <c r="D233" s="39"/>
      <c r="E233" s="39"/>
      <c r="F233" s="39"/>
      <c r="G233" s="39"/>
      <c r="H233" s="39"/>
      <c r="I233" s="39"/>
      <c r="J233" s="26"/>
      <c r="K233" s="28"/>
      <c r="L233" s="72"/>
      <c r="M233" s="72"/>
      <c r="N233" s="51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ht="15.75" customHeight="1">
      <c r="A234" s="39"/>
      <c r="B234" s="39"/>
      <c r="C234" s="1"/>
      <c r="D234" s="39"/>
      <c r="E234" s="39"/>
      <c r="F234" s="39"/>
      <c r="G234" s="39"/>
      <c r="H234" s="39"/>
      <c r="I234" s="39"/>
      <c r="J234" s="26"/>
      <c r="K234" s="28"/>
      <c r="L234" s="72"/>
      <c r="M234" s="72"/>
      <c r="N234" s="51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ht="15.75" customHeight="1">
      <c r="A235" s="39"/>
      <c r="B235" s="39"/>
      <c r="C235" s="1"/>
      <c r="D235" s="39"/>
      <c r="E235" s="39"/>
      <c r="F235" s="39"/>
      <c r="G235" s="39"/>
      <c r="H235" s="39"/>
      <c r="I235" s="39"/>
      <c r="J235" s="26"/>
      <c r="K235" s="28"/>
      <c r="L235" s="72"/>
      <c r="M235" s="72"/>
      <c r="N235" s="51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ht="15.75" customHeight="1">
      <c r="A236" s="39"/>
      <c r="B236" s="39"/>
      <c r="C236" s="1"/>
      <c r="D236" s="39"/>
      <c r="E236" s="39"/>
      <c r="F236" s="39"/>
      <c r="G236" s="39"/>
      <c r="H236" s="39"/>
      <c r="I236" s="39"/>
      <c r="J236" s="26"/>
      <c r="K236" s="28"/>
      <c r="L236" s="72"/>
      <c r="M236" s="72"/>
      <c r="N236" s="51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ht="15.75" customHeight="1">
      <c r="A237" s="39"/>
      <c r="B237" s="39"/>
      <c r="C237" s="1"/>
      <c r="D237" s="39"/>
      <c r="E237" s="39"/>
      <c r="F237" s="39"/>
      <c r="G237" s="39"/>
      <c r="H237" s="39"/>
      <c r="I237" s="39"/>
      <c r="J237" s="26"/>
      <c r="K237" s="28"/>
      <c r="L237" s="72"/>
      <c r="M237" s="72"/>
      <c r="N237" s="51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ht="15.75" customHeight="1">
      <c r="A238" s="39"/>
      <c r="B238" s="39"/>
      <c r="C238" s="1"/>
      <c r="D238" s="39"/>
      <c r="E238" s="39"/>
      <c r="F238" s="39"/>
      <c r="G238" s="39"/>
      <c r="H238" s="39"/>
      <c r="I238" s="39"/>
      <c r="J238" s="26"/>
      <c r="K238" s="28"/>
      <c r="L238" s="72"/>
      <c r="M238" s="72"/>
      <c r="N238" s="51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ht="15.75" customHeight="1">
      <c r="A239" s="39"/>
      <c r="B239" s="39"/>
      <c r="C239" s="1"/>
      <c r="D239" s="39"/>
      <c r="E239" s="39"/>
      <c r="F239" s="39"/>
      <c r="G239" s="39"/>
      <c r="H239" s="39"/>
      <c r="I239" s="39"/>
      <c r="J239" s="26"/>
      <c r="K239" s="28"/>
      <c r="L239" s="72"/>
      <c r="M239" s="72"/>
      <c r="N239" s="51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ht="15.75" customHeight="1">
      <c r="A240" s="39"/>
      <c r="B240" s="39"/>
      <c r="C240" s="1"/>
      <c r="D240" s="39"/>
      <c r="E240" s="39"/>
      <c r="F240" s="39"/>
      <c r="G240" s="39"/>
      <c r="H240" s="39"/>
      <c r="I240" s="39"/>
      <c r="J240" s="26"/>
      <c r="K240" s="28"/>
      <c r="L240" s="72"/>
      <c r="M240" s="72"/>
      <c r="N240" s="51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ht="15.75" customHeight="1">
      <c r="A241" s="39"/>
      <c r="B241" s="39"/>
      <c r="C241" s="1"/>
      <c r="D241" s="39"/>
      <c r="E241" s="39"/>
      <c r="F241" s="39"/>
      <c r="G241" s="39"/>
      <c r="H241" s="39"/>
      <c r="I241" s="39"/>
      <c r="J241" s="26"/>
      <c r="K241" s="28"/>
      <c r="L241" s="72"/>
      <c r="M241" s="72"/>
      <c r="N241" s="51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ht="15.75" customHeight="1">
      <c r="A242" s="39"/>
      <c r="B242" s="39"/>
      <c r="C242" s="1"/>
      <c r="D242" s="39"/>
      <c r="E242" s="39"/>
      <c r="F242" s="39"/>
      <c r="G242" s="39"/>
      <c r="H242" s="39"/>
      <c r="I242" s="39"/>
      <c r="J242" s="26"/>
      <c r="K242" s="28"/>
      <c r="L242" s="72"/>
      <c r="M242" s="72"/>
      <c r="N242" s="51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ht="15.75" customHeight="1">
      <c r="A243" s="39"/>
      <c r="B243" s="39"/>
      <c r="C243" s="1"/>
      <c r="D243" s="39"/>
      <c r="E243" s="39"/>
      <c r="F243" s="39"/>
      <c r="G243" s="39"/>
      <c r="H243" s="39"/>
      <c r="I243" s="39"/>
      <c r="J243" s="26"/>
      <c r="K243" s="28"/>
      <c r="L243" s="72"/>
      <c r="M243" s="72"/>
      <c r="N243" s="51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ht="15.75" customHeight="1">
      <c r="A244" s="39"/>
      <c r="B244" s="39"/>
      <c r="C244" s="1"/>
      <c r="D244" s="39"/>
      <c r="E244" s="39"/>
      <c r="F244" s="39"/>
      <c r="G244" s="39"/>
      <c r="H244" s="39"/>
      <c r="I244" s="39"/>
      <c r="J244" s="26"/>
      <c r="K244" s="28"/>
      <c r="L244" s="72"/>
      <c r="M244" s="72"/>
      <c r="N244" s="51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ht="15.75" customHeight="1">
      <c r="A245" s="39"/>
      <c r="B245" s="39"/>
      <c r="C245" s="1"/>
      <c r="D245" s="39"/>
      <c r="E245" s="39"/>
      <c r="F245" s="39"/>
      <c r="G245" s="39"/>
      <c r="H245" s="39"/>
      <c r="I245" s="39"/>
      <c r="J245" s="26"/>
      <c r="K245" s="28"/>
      <c r="L245" s="72"/>
      <c r="M245" s="72"/>
      <c r="N245" s="51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ht="15.75" customHeight="1">
      <c r="A246" s="39"/>
      <c r="B246" s="39"/>
      <c r="C246" s="1"/>
      <c r="D246" s="39"/>
      <c r="E246" s="39"/>
      <c r="F246" s="39"/>
      <c r="G246" s="39"/>
      <c r="H246" s="39"/>
      <c r="I246" s="39"/>
      <c r="J246" s="26"/>
      <c r="K246" s="28"/>
      <c r="L246" s="72"/>
      <c r="M246" s="72"/>
      <c r="N246" s="51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ht="15.75" customHeight="1">
      <c r="A247" s="39"/>
      <c r="B247" s="39"/>
      <c r="C247" s="1"/>
      <c r="D247" s="39"/>
      <c r="E247" s="39"/>
      <c r="F247" s="39"/>
      <c r="G247" s="39"/>
      <c r="H247" s="39"/>
      <c r="I247" s="39"/>
      <c r="J247" s="26"/>
      <c r="K247" s="28"/>
      <c r="L247" s="72"/>
      <c r="M247" s="72"/>
      <c r="N247" s="51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ht="15.75" customHeight="1">
      <c r="A248" s="39"/>
      <c r="B248" s="39"/>
      <c r="C248" s="1"/>
      <c r="D248" s="39"/>
      <c r="E248" s="39"/>
      <c r="F248" s="39"/>
      <c r="G248" s="39"/>
      <c r="H248" s="39"/>
      <c r="I248" s="39"/>
      <c r="J248" s="26"/>
      <c r="K248" s="28"/>
      <c r="L248" s="72"/>
      <c r="M248" s="72"/>
      <c r="N248" s="51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ht="15.75" customHeight="1">
      <c r="A249" s="39"/>
      <c r="B249" s="39"/>
      <c r="C249" s="1"/>
      <c r="D249" s="39"/>
      <c r="E249" s="39"/>
      <c r="F249" s="39"/>
      <c r="G249" s="39"/>
      <c r="H249" s="39"/>
      <c r="I249" s="39"/>
      <c r="J249" s="26"/>
      <c r="K249" s="28"/>
      <c r="L249" s="72"/>
      <c r="M249" s="72"/>
      <c r="N249" s="51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ht="15.75" customHeight="1">
      <c r="A250" s="39"/>
      <c r="B250" s="39"/>
      <c r="C250" s="1"/>
      <c r="D250" s="39"/>
      <c r="E250" s="39"/>
      <c r="F250" s="39"/>
      <c r="G250" s="39"/>
      <c r="H250" s="39"/>
      <c r="I250" s="39"/>
      <c r="J250" s="26"/>
      <c r="K250" s="28"/>
      <c r="L250" s="72"/>
      <c r="M250" s="72"/>
      <c r="N250" s="51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ht="15.75" customHeight="1">
      <c r="A251" s="39"/>
      <c r="B251" s="39"/>
      <c r="C251" s="1"/>
      <c r="D251" s="39"/>
      <c r="E251" s="39"/>
      <c r="F251" s="39"/>
      <c r="G251" s="39"/>
      <c r="H251" s="39"/>
      <c r="I251" s="39"/>
      <c r="J251" s="26"/>
      <c r="K251" s="28"/>
      <c r="L251" s="72"/>
      <c r="M251" s="72"/>
      <c r="N251" s="51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ht="15.75" customHeight="1">
      <c r="A252" s="39"/>
      <c r="B252" s="39"/>
      <c r="C252" s="1"/>
      <c r="D252" s="39"/>
      <c r="E252" s="39"/>
      <c r="F252" s="39"/>
      <c r="G252" s="39"/>
      <c r="H252" s="39"/>
      <c r="I252" s="39"/>
      <c r="J252" s="26"/>
      <c r="K252" s="28"/>
      <c r="L252" s="72"/>
      <c r="M252" s="72"/>
      <c r="N252" s="51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ht="15.75" customHeight="1">
      <c r="A253" s="39"/>
      <c r="B253" s="39"/>
      <c r="C253" s="1"/>
      <c r="D253" s="39"/>
      <c r="E253" s="39"/>
      <c r="F253" s="39"/>
      <c r="G253" s="39"/>
      <c r="H253" s="39"/>
      <c r="I253" s="39"/>
      <c r="J253" s="26"/>
      <c r="K253" s="28"/>
      <c r="L253" s="72"/>
      <c r="M253" s="72"/>
      <c r="N253" s="51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ht="15.75" customHeight="1">
      <c r="A254" s="39"/>
      <c r="B254" s="39"/>
      <c r="C254" s="1"/>
      <c r="D254" s="39"/>
      <c r="E254" s="39"/>
      <c r="F254" s="39"/>
      <c r="G254" s="39"/>
      <c r="H254" s="39"/>
      <c r="I254" s="39"/>
      <c r="J254" s="26"/>
      <c r="K254" s="28"/>
      <c r="L254" s="72"/>
      <c r="M254" s="72"/>
      <c r="N254" s="51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ht="15.75" customHeight="1">
      <c r="A255" s="39"/>
      <c r="B255" s="39"/>
      <c r="C255" s="1"/>
      <c r="D255" s="39"/>
      <c r="E255" s="39"/>
      <c r="F255" s="39"/>
      <c r="G255" s="39"/>
      <c r="H255" s="39"/>
      <c r="I255" s="39"/>
      <c r="J255" s="26"/>
      <c r="K255" s="28"/>
      <c r="L255" s="72"/>
      <c r="M255" s="72"/>
      <c r="N255" s="51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ht="15.75" customHeight="1">
      <c r="A256" s="39"/>
      <c r="B256" s="39"/>
      <c r="C256" s="1"/>
      <c r="D256" s="39"/>
      <c r="E256" s="39"/>
      <c r="F256" s="39"/>
      <c r="G256" s="39"/>
      <c r="H256" s="39"/>
      <c r="I256" s="39"/>
      <c r="J256" s="26"/>
      <c r="K256" s="28"/>
      <c r="L256" s="72"/>
      <c r="M256" s="72"/>
      <c r="N256" s="51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ht="15.75" customHeight="1">
      <c r="A257" s="39"/>
      <c r="B257" s="39"/>
      <c r="C257" s="1"/>
      <c r="D257" s="39"/>
      <c r="E257" s="39"/>
      <c r="F257" s="39"/>
      <c r="G257" s="39"/>
      <c r="H257" s="39"/>
      <c r="I257" s="39"/>
      <c r="J257" s="26"/>
      <c r="K257" s="28"/>
      <c r="L257" s="72"/>
      <c r="M257" s="72"/>
      <c r="N257" s="51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ht="15.75" customHeight="1">
      <c r="A258" s="39"/>
      <c r="B258" s="39"/>
      <c r="C258" s="1"/>
      <c r="D258" s="39"/>
      <c r="E258" s="39"/>
      <c r="F258" s="39"/>
      <c r="G258" s="39"/>
      <c r="H258" s="39"/>
      <c r="I258" s="39"/>
      <c r="J258" s="26"/>
      <c r="K258" s="28"/>
      <c r="L258" s="72"/>
      <c r="M258" s="72"/>
      <c r="N258" s="51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ht="15.75" customHeight="1">
      <c r="A259" s="39"/>
      <c r="B259" s="39"/>
      <c r="C259" s="1"/>
      <c r="D259" s="39"/>
      <c r="E259" s="39"/>
      <c r="F259" s="39"/>
      <c r="G259" s="39"/>
      <c r="H259" s="39"/>
      <c r="I259" s="39"/>
      <c r="J259" s="26"/>
      <c r="K259" s="28"/>
      <c r="L259" s="72"/>
      <c r="M259" s="72"/>
      <c r="N259" s="51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ht="15.75" customHeight="1">
      <c r="A260" s="39"/>
      <c r="B260" s="39"/>
      <c r="C260" s="1"/>
      <c r="D260" s="39"/>
      <c r="E260" s="39"/>
      <c r="F260" s="39"/>
      <c r="G260" s="39"/>
      <c r="H260" s="39"/>
      <c r="I260" s="39"/>
      <c r="J260" s="26"/>
      <c r="K260" s="28"/>
      <c r="L260" s="72"/>
      <c r="M260" s="72"/>
      <c r="N260" s="51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ht="15.75" customHeight="1">
      <c r="A261" s="39"/>
      <c r="B261" s="39"/>
      <c r="C261" s="1"/>
      <c r="D261" s="39"/>
      <c r="E261" s="39"/>
      <c r="F261" s="39"/>
      <c r="G261" s="39"/>
      <c r="H261" s="39"/>
      <c r="I261" s="39"/>
      <c r="J261" s="26"/>
      <c r="K261" s="28"/>
      <c r="L261" s="72"/>
      <c r="M261" s="72"/>
      <c r="N261" s="51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ht="15.75" customHeight="1">
      <c r="A262" s="39"/>
      <c r="B262" s="39"/>
      <c r="C262" s="1"/>
      <c r="D262" s="39"/>
      <c r="E262" s="39"/>
      <c r="F262" s="39"/>
      <c r="G262" s="39"/>
      <c r="H262" s="39"/>
      <c r="I262" s="39"/>
      <c r="J262" s="26"/>
      <c r="K262" s="28"/>
      <c r="L262" s="72"/>
      <c r="M262" s="72"/>
      <c r="N262" s="51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ht="15.75" customHeight="1">
      <c r="A263" s="39"/>
      <c r="B263" s="39"/>
      <c r="C263" s="1"/>
      <c r="D263" s="39"/>
      <c r="E263" s="39"/>
      <c r="F263" s="39"/>
      <c r="G263" s="39"/>
      <c r="H263" s="39"/>
      <c r="I263" s="39"/>
      <c r="J263" s="26"/>
      <c r="K263" s="28"/>
      <c r="L263" s="72"/>
      <c r="M263" s="72"/>
      <c r="N263" s="51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ht="15.75" customHeight="1">
      <c r="A264" s="39"/>
      <c r="B264" s="39"/>
      <c r="C264" s="1"/>
      <c r="D264" s="39"/>
      <c r="E264" s="39"/>
      <c r="F264" s="39"/>
      <c r="G264" s="39"/>
      <c r="H264" s="39"/>
      <c r="I264" s="39"/>
      <c r="J264" s="26"/>
      <c r="K264" s="28"/>
      <c r="L264" s="72"/>
      <c r="M264" s="72"/>
      <c r="N264" s="51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ht="15.75" customHeight="1">
      <c r="A265" s="39"/>
      <c r="B265" s="39"/>
      <c r="C265" s="1"/>
      <c r="D265" s="39"/>
      <c r="E265" s="39"/>
      <c r="F265" s="39"/>
      <c r="G265" s="39"/>
      <c r="H265" s="39"/>
      <c r="I265" s="39"/>
      <c r="J265" s="26"/>
      <c r="K265" s="28"/>
      <c r="L265" s="72"/>
      <c r="M265" s="72"/>
      <c r="N265" s="51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ht="15.75" customHeight="1">
      <c r="A266" s="39"/>
      <c r="B266" s="39"/>
      <c r="C266" s="1"/>
      <c r="D266" s="39"/>
      <c r="E266" s="39"/>
      <c r="F266" s="39"/>
      <c r="G266" s="39"/>
      <c r="H266" s="39"/>
      <c r="I266" s="39"/>
      <c r="J266" s="26"/>
      <c r="K266" s="28"/>
      <c r="L266" s="72"/>
      <c r="M266" s="72"/>
      <c r="N266" s="51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ht="15.75" customHeight="1">
      <c r="A267" s="39"/>
      <c r="B267" s="39"/>
      <c r="C267" s="1"/>
      <c r="D267" s="39"/>
      <c r="E267" s="39"/>
      <c r="F267" s="39"/>
      <c r="G267" s="39"/>
      <c r="H267" s="39"/>
      <c r="I267" s="39"/>
      <c r="J267" s="26"/>
      <c r="K267" s="28"/>
      <c r="L267" s="72"/>
      <c r="M267" s="72"/>
      <c r="N267" s="51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ht="15.75" customHeight="1">
      <c r="A268" s="39"/>
      <c r="B268" s="39"/>
      <c r="C268" s="1"/>
      <c r="D268" s="39"/>
      <c r="E268" s="39"/>
      <c r="F268" s="39"/>
      <c r="G268" s="39"/>
      <c r="H268" s="39"/>
      <c r="I268" s="39"/>
      <c r="J268" s="26"/>
      <c r="K268" s="28"/>
      <c r="L268" s="72"/>
      <c r="M268" s="72"/>
      <c r="N268" s="51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ht="15.75" customHeight="1">
      <c r="A269" s="39"/>
      <c r="B269" s="39"/>
      <c r="C269" s="1"/>
      <c r="D269" s="39"/>
      <c r="E269" s="39"/>
      <c r="F269" s="39"/>
      <c r="G269" s="39"/>
      <c r="H269" s="39"/>
      <c r="I269" s="39"/>
      <c r="J269" s="26"/>
      <c r="K269" s="28"/>
      <c r="L269" s="72"/>
      <c r="M269" s="72"/>
      <c r="N269" s="51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ht="15.75" customHeight="1">
      <c r="A270" s="39"/>
      <c r="B270" s="39"/>
      <c r="C270" s="1"/>
      <c r="D270" s="39"/>
      <c r="E270" s="39"/>
      <c r="F270" s="39"/>
      <c r="G270" s="39"/>
      <c r="H270" s="39"/>
      <c r="I270" s="39"/>
      <c r="J270" s="26"/>
      <c r="K270" s="28"/>
      <c r="L270" s="72"/>
      <c r="M270" s="72"/>
      <c r="N270" s="51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ht="15.75" customHeight="1">
      <c r="A271" s="39"/>
      <c r="B271" s="39"/>
      <c r="C271" s="1"/>
      <c r="D271" s="39"/>
      <c r="E271" s="39"/>
      <c r="F271" s="39"/>
      <c r="G271" s="39"/>
      <c r="H271" s="39"/>
      <c r="I271" s="39"/>
      <c r="J271" s="26"/>
      <c r="K271" s="28"/>
      <c r="L271" s="72"/>
      <c r="M271" s="72"/>
      <c r="N271" s="51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ht="15.75" customHeight="1">
      <c r="A272" s="39"/>
      <c r="B272" s="39"/>
      <c r="C272" s="1"/>
      <c r="D272" s="39"/>
      <c r="E272" s="39"/>
      <c r="F272" s="39"/>
      <c r="G272" s="39"/>
      <c r="H272" s="39"/>
      <c r="I272" s="39"/>
      <c r="J272" s="26"/>
      <c r="K272" s="28"/>
      <c r="L272" s="72"/>
      <c r="M272" s="72"/>
      <c r="N272" s="51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ht="15.75" customHeight="1">
      <c r="A273" s="39"/>
      <c r="B273" s="39"/>
      <c r="C273" s="1"/>
      <c r="D273" s="39"/>
      <c r="E273" s="39"/>
      <c r="F273" s="39"/>
      <c r="G273" s="39"/>
      <c r="H273" s="39"/>
      <c r="I273" s="39"/>
      <c r="J273" s="26"/>
      <c r="K273" s="28"/>
      <c r="L273" s="72"/>
      <c r="M273" s="72"/>
      <c r="N273" s="51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ht="15.75" customHeight="1">
      <c r="A274" s="39"/>
      <c r="B274" s="39"/>
      <c r="C274" s="1"/>
      <c r="D274" s="39"/>
      <c r="E274" s="39"/>
      <c r="F274" s="39"/>
      <c r="G274" s="39"/>
      <c r="H274" s="39"/>
      <c r="I274" s="39"/>
      <c r="J274" s="26"/>
      <c r="K274" s="28"/>
      <c r="L274" s="72"/>
      <c r="M274" s="72"/>
      <c r="N274" s="51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ht="15.75" customHeight="1">
      <c r="A275" s="39"/>
      <c r="B275" s="39"/>
      <c r="C275" s="1"/>
      <c r="D275" s="39"/>
      <c r="E275" s="39"/>
      <c r="F275" s="39"/>
      <c r="G275" s="39"/>
      <c r="H275" s="39"/>
      <c r="I275" s="39"/>
      <c r="J275" s="26"/>
      <c r="K275" s="28"/>
      <c r="L275" s="72"/>
      <c r="M275" s="72"/>
      <c r="N275" s="51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ht="15.75" customHeight="1">
      <c r="A276" s="39"/>
      <c r="B276" s="39"/>
      <c r="C276" s="1"/>
      <c r="D276" s="39"/>
      <c r="E276" s="39"/>
      <c r="F276" s="39"/>
      <c r="G276" s="39"/>
      <c r="H276" s="39"/>
      <c r="I276" s="39"/>
      <c r="J276" s="26"/>
      <c r="K276" s="28"/>
      <c r="L276" s="72"/>
      <c r="M276" s="72"/>
      <c r="N276" s="51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ht="15.75" customHeight="1">
      <c r="A277" s="39"/>
      <c r="B277" s="39"/>
      <c r="C277" s="1"/>
      <c r="D277" s="39"/>
      <c r="E277" s="39"/>
      <c r="F277" s="39"/>
      <c r="G277" s="39"/>
      <c r="H277" s="39"/>
      <c r="I277" s="39"/>
      <c r="J277" s="26"/>
      <c r="K277" s="28"/>
      <c r="L277" s="72"/>
      <c r="M277" s="72"/>
      <c r="N277" s="51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ht="15.75" customHeight="1">
      <c r="A278" s="39"/>
      <c r="B278" s="39"/>
      <c r="C278" s="1"/>
      <c r="D278" s="39"/>
      <c r="E278" s="39"/>
      <c r="F278" s="39"/>
      <c r="G278" s="39"/>
      <c r="H278" s="39"/>
      <c r="I278" s="39"/>
      <c r="J278" s="26"/>
      <c r="K278" s="28"/>
      <c r="L278" s="72"/>
      <c r="M278" s="72"/>
      <c r="N278" s="51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ht="15.75" customHeight="1">
      <c r="A279" s="39"/>
      <c r="B279" s="39"/>
      <c r="C279" s="1"/>
      <c r="D279" s="39"/>
      <c r="E279" s="39"/>
      <c r="F279" s="39"/>
      <c r="G279" s="39"/>
      <c r="H279" s="39"/>
      <c r="I279" s="39"/>
      <c r="J279" s="26"/>
      <c r="K279" s="28"/>
      <c r="L279" s="72"/>
      <c r="M279" s="72"/>
      <c r="N279" s="51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ht="15.75" customHeight="1">
      <c r="A280" s="39"/>
      <c r="B280" s="39"/>
      <c r="C280" s="1"/>
      <c r="D280" s="39"/>
      <c r="E280" s="39"/>
      <c r="F280" s="39"/>
      <c r="G280" s="39"/>
      <c r="H280" s="39"/>
      <c r="I280" s="39"/>
      <c r="J280" s="26"/>
      <c r="K280" s="28"/>
      <c r="L280" s="72"/>
      <c r="M280" s="72"/>
      <c r="N280" s="51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ht="15.75" customHeight="1">
      <c r="A281" s="39"/>
      <c r="B281" s="39"/>
      <c r="C281" s="1"/>
      <c r="D281" s="39"/>
      <c r="E281" s="39"/>
      <c r="F281" s="39"/>
      <c r="G281" s="39"/>
      <c r="H281" s="39"/>
      <c r="I281" s="39"/>
      <c r="J281" s="26"/>
      <c r="K281" s="28"/>
      <c r="L281" s="72"/>
      <c r="M281" s="72"/>
      <c r="N281" s="51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ht="15.75" customHeight="1">
      <c r="A282" s="39"/>
      <c r="B282" s="39"/>
      <c r="C282" s="1"/>
      <c r="D282" s="39"/>
      <c r="E282" s="39"/>
      <c r="F282" s="39"/>
      <c r="G282" s="39"/>
      <c r="H282" s="39"/>
      <c r="I282" s="39"/>
      <c r="J282" s="26"/>
      <c r="K282" s="28"/>
      <c r="L282" s="72"/>
      <c r="M282" s="72"/>
      <c r="N282" s="51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ht="15.75" customHeight="1">
      <c r="A283" s="39"/>
      <c r="B283" s="39"/>
      <c r="C283" s="1"/>
      <c r="D283" s="39"/>
      <c r="E283" s="39"/>
      <c r="F283" s="39"/>
      <c r="G283" s="39"/>
      <c r="H283" s="39"/>
      <c r="I283" s="39"/>
      <c r="J283" s="26"/>
      <c r="K283" s="28"/>
      <c r="L283" s="72"/>
      <c r="M283" s="72"/>
      <c r="N283" s="51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ht="15.75" customHeight="1">
      <c r="A284" s="39"/>
      <c r="B284" s="39"/>
      <c r="C284" s="1"/>
      <c r="D284" s="39"/>
      <c r="E284" s="39"/>
      <c r="F284" s="39"/>
      <c r="G284" s="39"/>
      <c r="H284" s="39"/>
      <c r="I284" s="39"/>
      <c r="J284" s="26"/>
      <c r="K284" s="28"/>
      <c r="L284" s="72"/>
      <c r="M284" s="72"/>
      <c r="N284" s="51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ht="15.75" customHeight="1">
      <c r="A285" s="39"/>
      <c r="B285" s="39"/>
      <c r="C285" s="1"/>
      <c r="D285" s="39"/>
      <c r="E285" s="39"/>
      <c r="F285" s="39"/>
      <c r="G285" s="39"/>
      <c r="H285" s="39"/>
      <c r="I285" s="39"/>
      <c r="J285" s="26"/>
      <c r="K285" s="28"/>
      <c r="L285" s="72"/>
      <c r="M285" s="72"/>
      <c r="N285" s="51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ht="15.75" customHeight="1">
      <c r="A286" s="39"/>
      <c r="B286" s="39"/>
      <c r="C286" s="1"/>
      <c r="D286" s="39"/>
      <c r="E286" s="39"/>
      <c r="F286" s="39"/>
      <c r="G286" s="39"/>
      <c r="H286" s="39"/>
      <c r="I286" s="39"/>
      <c r="J286" s="26"/>
      <c r="K286" s="28"/>
      <c r="L286" s="72"/>
      <c r="M286" s="72"/>
      <c r="N286" s="51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ht="15.75" customHeight="1">
      <c r="A287" s="39"/>
      <c r="B287" s="39"/>
      <c r="C287" s="1"/>
      <c r="D287" s="39"/>
      <c r="E287" s="39"/>
      <c r="F287" s="39"/>
      <c r="G287" s="39"/>
      <c r="H287" s="39"/>
      <c r="I287" s="39"/>
      <c r="J287" s="26"/>
      <c r="K287" s="28"/>
      <c r="L287" s="72"/>
      <c r="M287" s="72"/>
      <c r="N287" s="51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ht="15.75" customHeight="1">
      <c r="A288" s="39"/>
      <c r="B288" s="39"/>
      <c r="C288" s="1"/>
      <c r="D288" s="39"/>
      <c r="E288" s="39"/>
      <c r="F288" s="39"/>
      <c r="G288" s="39"/>
      <c r="H288" s="39"/>
      <c r="I288" s="39"/>
      <c r="J288" s="26"/>
      <c r="K288" s="28"/>
      <c r="L288" s="72"/>
      <c r="M288" s="72"/>
      <c r="N288" s="51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ht="15.75" customHeight="1">
      <c r="A289" s="39"/>
      <c r="B289" s="39"/>
      <c r="C289" s="1"/>
      <c r="D289" s="39"/>
      <c r="E289" s="39"/>
      <c r="F289" s="39"/>
      <c r="G289" s="39"/>
      <c r="H289" s="39"/>
      <c r="I289" s="39"/>
      <c r="J289" s="26"/>
      <c r="K289" s="28"/>
      <c r="L289" s="72"/>
      <c r="M289" s="72"/>
      <c r="N289" s="51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ht="15.75" customHeight="1">
      <c r="A290" s="39"/>
      <c r="B290" s="39"/>
      <c r="C290" s="1"/>
      <c r="D290" s="39"/>
      <c r="E290" s="39"/>
      <c r="F290" s="39"/>
      <c r="G290" s="39"/>
      <c r="H290" s="39"/>
      <c r="I290" s="39"/>
      <c r="J290" s="26"/>
      <c r="K290" s="28"/>
      <c r="L290" s="72"/>
      <c r="M290" s="72"/>
      <c r="N290" s="51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ht="15.75" customHeight="1">
      <c r="A291" s="39"/>
      <c r="B291" s="39"/>
      <c r="C291" s="1"/>
      <c r="D291" s="39"/>
      <c r="E291" s="39"/>
      <c r="F291" s="39"/>
      <c r="G291" s="39"/>
      <c r="H291" s="39"/>
      <c r="I291" s="39"/>
      <c r="J291" s="26"/>
      <c r="K291" s="28"/>
      <c r="L291" s="72"/>
      <c r="M291" s="72"/>
      <c r="N291" s="51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ht="15.75" customHeight="1">
      <c r="A292" s="39"/>
      <c r="B292" s="39"/>
      <c r="C292" s="1"/>
      <c r="D292" s="39"/>
      <c r="E292" s="39"/>
      <c r="F292" s="39"/>
      <c r="G292" s="39"/>
      <c r="H292" s="39"/>
      <c r="I292" s="39"/>
      <c r="J292" s="26"/>
      <c r="K292" s="28"/>
      <c r="L292" s="72"/>
      <c r="M292" s="72"/>
      <c r="N292" s="51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ht="15.75" customHeight="1">
      <c r="A293" s="39"/>
      <c r="B293" s="39"/>
      <c r="C293" s="1"/>
      <c r="D293" s="39"/>
      <c r="E293" s="39"/>
      <c r="F293" s="39"/>
      <c r="G293" s="39"/>
      <c r="H293" s="39"/>
      <c r="I293" s="39"/>
      <c r="J293" s="26"/>
      <c r="K293" s="28"/>
      <c r="L293" s="72"/>
      <c r="M293" s="72"/>
      <c r="N293" s="51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ht="15.75" customHeight="1">
      <c r="A294" s="39"/>
      <c r="B294" s="39"/>
      <c r="C294" s="1"/>
      <c r="D294" s="39"/>
      <c r="E294" s="39"/>
      <c r="F294" s="39"/>
      <c r="G294" s="39"/>
      <c r="H294" s="39"/>
      <c r="I294" s="39"/>
      <c r="J294" s="26"/>
      <c r="K294" s="28"/>
      <c r="L294" s="72"/>
      <c r="M294" s="72"/>
      <c r="N294" s="51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ht="15.75" customHeight="1">
      <c r="A295" s="39"/>
      <c r="B295" s="39"/>
      <c r="C295" s="1"/>
      <c r="D295" s="39"/>
      <c r="E295" s="39"/>
      <c r="F295" s="39"/>
      <c r="G295" s="39"/>
      <c r="H295" s="39"/>
      <c r="I295" s="39"/>
      <c r="J295" s="26"/>
      <c r="K295" s="28"/>
      <c r="L295" s="72"/>
      <c r="M295" s="72"/>
      <c r="N295" s="51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ht="15.75" customHeight="1">
      <c r="A296" s="39"/>
      <c r="B296" s="39"/>
      <c r="C296" s="1"/>
      <c r="D296" s="39"/>
      <c r="E296" s="39"/>
      <c r="F296" s="39"/>
      <c r="G296" s="39"/>
      <c r="H296" s="39"/>
      <c r="I296" s="39"/>
      <c r="J296" s="26"/>
      <c r="K296" s="28"/>
      <c r="L296" s="72"/>
      <c r="M296" s="72"/>
      <c r="N296" s="51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ht="15.75" customHeight="1">
      <c r="A297" s="39"/>
      <c r="B297" s="39"/>
      <c r="C297" s="1"/>
      <c r="D297" s="39"/>
      <c r="E297" s="39"/>
      <c r="F297" s="39"/>
      <c r="G297" s="39"/>
      <c r="H297" s="39"/>
      <c r="I297" s="39"/>
      <c r="J297" s="26"/>
      <c r="K297" s="28"/>
      <c r="L297" s="72"/>
      <c r="M297" s="72"/>
      <c r="N297" s="51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ht="15.75" customHeight="1">
      <c r="A298" s="39"/>
      <c r="B298" s="39"/>
      <c r="C298" s="1"/>
      <c r="D298" s="39"/>
      <c r="E298" s="39"/>
      <c r="F298" s="39"/>
      <c r="G298" s="39"/>
      <c r="H298" s="39"/>
      <c r="I298" s="39"/>
      <c r="J298" s="26"/>
      <c r="K298" s="28"/>
      <c r="L298" s="72"/>
      <c r="M298" s="72"/>
      <c r="N298" s="51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ht="15.75" customHeight="1">
      <c r="A299" s="39"/>
      <c r="B299" s="39"/>
      <c r="C299" s="1"/>
      <c r="D299" s="39"/>
      <c r="E299" s="39"/>
      <c r="F299" s="39"/>
      <c r="G299" s="39"/>
      <c r="H299" s="39"/>
      <c r="I299" s="39"/>
      <c r="J299" s="26"/>
      <c r="K299" s="28"/>
      <c r="L299" s="72"/>
      <c r="M299" s="72"/>
      <c r="N299" s="51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ht="15.75" customHeight="1">
      <c r="A300" s="39"/>
      <c r="B300" s="39"/>
      <c r="C300" s="1"/>
      <c r="D300" s="39"/>
      <c r="E300" s="39"/>
      <c r="F300" s="39"/>
      <c r="G300" s="39"/>
      <c r="H300" s="39"/>
      <c r="I300" s="39"/>
      <c r="J300" s="26"/>
      <c r="K300" s="28"/>
      <c r="L300" s="72"/>
      <c r="M300" s="72"/>
      <c r="N300" s="51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ht="15.75" customHeight="1">
      <c r="A301" s="39"/>
      <c r="B301" s="39"/>
      <c r="C301" s="1"/>
      <c r="D301" s="39"/>
      <c r="E301" s="39"/>
      <c r="F301" s="39"/>
      <c r="G301" s="39"/>
      <c r="H301" s="39"/>
      <c r="I301" s="39"/>
      <c r="J301" s="26"/>
      <c r="K301" s="28"/>
      <c r="L301" s="72"/>
      <c r="M301" s="72"/>
      <c r="N301" s="51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ht="15.75" customHeight="1">
      <c r="A302" s="39"/>
      <c r="B302" s="39"/>
      <c r="C302" s="1"/>
      <c r="D302" s="39"/>
      <c r="E302" s="39"/>
      <c r="F302" s="39"/>
      <c r="G302" s="39"/>
      <c r="H302" s="39"/>
      <c r="I302" s="39"/>
      <c r="J302" s="26"/>
      <c r="K302" s="28"/>
      <c r="L302" s="72"/>
      <c r="M302" s="72"/>
      <c r="N302" s="51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ht="15.75" customHeight="1">
      <c r="A303" s="39"/>
      <c r="B303" s="39"/>
      <c r="C303" s="1"/>
      <c r="D303" s="39"/>
      <c r="E303" s="39"/>
      <c r="F303" s="39"/>
      <c r="G303" s="39"/>
      <c r="H303" s="39"/>
      <c r="I303" s="39"/>
      <c r="J303" s="26"/>
      <c r="K303" s="28"/>
      <c r="L303" s="72"/>
      <c r="M303" s="72"/>
      <c r="N303" s="51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ht="15.75" customHeight="1">
      <c r="A304" s="39"/>
      <c r="B304" s="39"/>
      <c r="C304" s="1"/>
      <c r="D304" s="39"/>
      <c r="E304" s="39"/>
      <c r="F304" s="39"/>
      <c r="G304" s="39"/>
      <c r="H304" s="39"/>
      <c r="I304" s="39"/>
      <c r="J304" s="26"/>
      <c r="K304" s="28"/>
      <c r="L304" s="72"/>
      <c r="M304" s="72"/>
      <c r="N304" s="51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ht="15.75" customHeight="1">
      <c r="A305" s="39"/>
      <c r="B305" s="39"/>
      <c r="C305" s="1"/>
      <c r="D305" s="39"/>
      <c r="E305" s="39"/>
      <c r="F305" s="39"/>
      <c r="G305" s="39"/>
      <c r="H305" s="39"/>
      <c r="I305" s="39"/>
      <c r="J305" s="26"/>
      <c r="K305" s="28"/>
      <c r="L305" s="72"/>
      <c r="M305" s="72"/>
      <c r="N305" s="51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ht="15.75" customHeight="1">
      <c r="A306" s="39"/>
      <c r="B306" s="39"/>
      <c r="C306" s="1"/>
      <c r="D306" s="39"/>
      <c r="E306" s="39"/>
      <c r="F306" s="39"/>
      <c r="G306" s="39"/>
      <c r="H306" s="39"/>
      <c r="I306" s="39"/>
      <c r="J306" s="26"/>
      <c r="K306" s="28"/>
      <c r="L306" s="72"/>
      <c r="M306" s="72"/>
      <c r="N306" s="51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ht="15.75" customHeight="1">
      <c r="A307" s="39"/>
      <c r="B307" s="39"/>
      <c r="C307" s="1"/>
      <c r="D307" s="39"/>
      <c r="E307" s="39"/>
      <c r="F307" s="39"/>
      <c r="G307" s="39"/>
      <c r="H307" s="39"/>
      <c r="I307" s="39"/>
      <c r="J307" s="26"/>
      <c r="K307" s="28"/>
      <c r="L307" s="72"/>
      <c r="M307" s="72"/>
      <c r="N307" s="51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ht="15.75" customHeight="1">
      <c r="A308" s="39"/>
      <c r="B308" s="39"/>
      <c r="C308" s="1"/>
      <c r="D308" s="39"/>
      <c r="E308" s="39"/>
      <c r="F308" s="39"/>
      <c r="G308" s="39"/>
      <c r="H308" s="39"/>
      <c r="I308" s="39"/>
      <c r="J308" s="26"/>
      <c r="K308" s="28"/>
      <c r="L308" s="72"/>
      <c r="M308" s="72"/>
      <c r="N308" s="51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ht="15.75" customHeight="1">
      <c r="A309" s="39"/>
      <c r="B309" s="39"/>
      <c r="C309" s="1"/>
      <c r="D309" s="39"/>
      <c r="E309" s="39"/>
      <c r="F309" s="39"/>
      <c r="G309" s="39"/>
      <c r="H309" s="39"/>
      <c r="I309" s="39"/>
      <c r="J309" s="26"/>
      <c r="K309" s="28"/>
      <c r="L309" s="72"/>
      <c r="M309" s="72"/>
      <c r="N309" s="51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ht="15.75" customHeight="1">
      <c r="A310" s="39"/>
      <c r="B310" s="39"/>
      <c r="C310" s="1"/>
      <c r="D310" s="39"/>
      <c r="E310" s="39"/>
      <c r="F310" s="39"/>
      <c r="G310" s="39"/>
      <c r="H310" s="39"/>
      <c r="I310" s="39"/>
      <c r="J310" s="26"/>
      <c r="K310" s="28"/>
      <c r="L310" s="72"/>
      <c r="M310" s="72"/>
      <c r="N310" s="51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ht="15.75" customHeight="1">
      <c r="A311" s="39"/>
      <c r="B311" s="39"/>
      <c r="C311" s="1"/>
      <c r="D311" s="39"/>
      <c r="E311" s="39"/>
      <c r="F311" s="39"/>
      <c r="G311" s="39"/>
      <c r="H311" s="39"/>
      <c r="I311" s="39"/>
      <c r="J311" s="26"/>
      <c r="K311" s="28"/>
      <c r="L311" s="72"/>
      <c r="M311" s="72"/>
      <c r="N311" s="51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ht="15.75" customHeight="1">
      <c r="A312" s="39"/>
      <c r="B312" s="39"/>
      <c r="C312" s="1"/>
      <c r="D312" s="39"/>
      <c r="E312" s="39"/>
      <c r="F312" s="39"/>
      <c r="G312" s="39"/>
      <c r="H312" s="39"/>
      <c r="I312" s="39"/>
      <c r="J312" s="26"/>
      <c r="K312" s="28"/>
      <c r="L312" s="72"/>
      <c r="M312" s="72"/>
      <c r="N312" s="51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ht="15.75" customHeight="1">
      <c r="A313" s="39"/>
      <c r="B313" s="39"/>
      <c r="C313" s="1"/>
      <c r="D313" s="39"/>
      <c r="E313" s="39"/>
      <c r="F313" s="39"/>
      <c r="G313" s="39"/>
      <c r="H313" s="39"/>
      <c r="I313" s="39"/>
      <c r="J313" s="26"/>
      <c r="K313" s="28"/>
      <c r="L313" s="72"/>
      <c r="M313" s="72"/>
      <c r="N313" s="51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ht="15.75" customHeight="1">
      <c r="A314" s="39"/>
      <c r="B314" s="39"/>
      <c r="C314" s="1"/>
      <c r="D314" s="39"/>
      <c r="E314" s="39"/>
      <c r="F314" s="39"/>
      <c r="G314" s="39"/>
      <c r="H314" s="39"/>
      <c r="I314" s="39"/>
      <c r="J314" s="26"/>
      <c r="K314" s="28"/>
      <c r="L314" s="72"/>
      <c r="M314" s="72"/>
      <c r="N314" s="51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ht="15.75" customHeight="1">
      <c r="A315" s="39"/>
      <c r="B315" s="39"/>
      <c r="C315" s="1"/>
      <c r="D315" s="39"/>
      <c r="E315" s="39"/>
      <c r="F315" s="39"/>
      <c r="G315" s="39"/>
      <c r="H315" s="39"/>
      <c r="I315" s="39"/>
      <c r="J315" s="26"/>
      <c r="K315" s="28"/>
      <c r="L315" s="72"/>
      <c r="M315" s="72"/>
      <c r="N315" s="51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ht="15.75" customHeight="1">
      <c r="A316" s="39"/>
      <c r="B316" s="39"/>
      <c r="C316" s="1"/>
      <c r="D316" s="39"/>
      <c r="E316" s="39"/>
      <c r="F316" s="39"/>
      <c r="G316" s="39"/>
      <c r="H316" s="39"/>
      <c r="I316" s="39"/>
      <c r="J316" s="26"/>
      <c r="K316" s="28"/>
      <c r="L316" s="72"/>
      <c r="M316" s="72"/>
      <c r="N316" s="51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ht="15.75" customHeight="1">
      <c r="A317" s="39"/>
      <c r="B317" s="39"/>
      <c r="C317" s="1"/>
      <c r="D317" s="39"/>
      <c r="E317" s="39"/>
      <c r="F317" s="39"/>
      <c r="G317" s="39"/>
      <c r="H317" s="39"/>
      <c r="I317" s="39"/>
      <c r="J317" s="26"/>
      <c r="K317" s="28"/>
      <c r="L317" s="72"/>
      <c r="M317" s="72"/>
      <c r="N317" s="51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ht="15.75" customHeight="1">
      <c r="A318" s="39"/>
      <c r="B318" s="39"/>
      <c r="C318" s="1"/>
      <c r="D318" s="39"/>
      <c r="E318" s="39"/>
      <c r="F318" s="39"/>
      <c r="G318" s="39"/>
      <c r="H318" s="39"/>
      <c r="I318" s="39"/>
      <c r="J318" s="26"/>
      <c r="K318" s="28"/>
      <c r="L318" s="72"/>
      <c r="M318" s="72"/>
      <c r="N318" s="51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ht="15.75" customHeight="1">
      <c r="A319" s="39"/>
      <c r="B319" s="39"/>
      <c r="C319" s="1"/>
      <c r="D319" s="39"/>
      <c r="E319" s="39"/>
      <c r="F319" s="39"/>
      <c r="G319" s="39"/>
      <c r="H319" s="39"/>
      <c r="I319" s="39"/>
      <c r="J319" s="26"/>
      <c r="K319" s="28"/>
      <c r="L319" s="72"/>
      <c r="M319" s="72"/>
      <c r="N319" s="51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ht="15.75" customHeight="1">
      <c r="A320" s="39"/>
      <c r="B320" s="39"/>
      <c r="C320" s="1"/>
      <c r="D320" s="39"/>
      <c r="E320" s="39"/>
      <c r="F320" s="39"/>
      <c r="G320" s="39"/>
      <c r="H320" s="39"/>
      <c r="I320" s="39"/>
      <c r="J320" s="26"/>
      <c r="K320" s="28"/>
      <c r="L320" s="72"/>
      <c r="M320" s="72"/>
      <c r="N320" s="51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ht="15.75" customHeight="1">
      <c r="A321" s="39"/>
      <c r="B321" s="39"/>
      <c r="C321" s="1"/>
      <c r="D321" s="39"/>
      <c r="E321" s="39"/>
      <c r="F321" s="39"/>
      <c r="G321" s="39"/>
      <c r="H321" s="39"/>
      <c r="I321" s="39"/>
      <c r="J321" s="26"/>
      <c r="K321" s="28"/>
      <c r="L321" s="72"/>
      <c r="M321" s="72"/>
      <c r="N321" s="51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ht="15.75" customHeight="1">
      <c r="A322" s="39"/>
      <c r="B322" s="39"/>
      <c r="C322" s="1"/>
      <c r="D322" s="39"/>
      <c r="E322" s="39"/>
      <c r="F322" s="39"/>
      <c r="G322" s="39"/>
      <c r="H322" s="39"/>
      <c r="I322" s="39"/>
      <c r="J322" s="26"/>
      <c r="K322" s="28"/>
      <c r="L322" s="72"/>
      <c r="M322" s="72"/>
      <c r="N322" s="51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ht="15.75" customHeight="1">
      <c r="A323" s="39"/>
      <c r="B323" s="39"/>
      <c r="C323" s="1"/>
      <c r="D323" s="39"/>
      <c r="E323" s="39"/>
      <c r="F323" s="39"/>
      <c r="G323" s="39"/>
      <c r="H323" s="39"/>
      <c r="I323" s="39"/>
      <c r="J323" s="26"/>
      <c r="K323" s="28"/>
      <c r="L323" s="72"/>
      <c r="M323" s="72"/>
      <c r="N323" s="51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ht="15.75" customHeight="1">
      <c r="A324" s="39"/>
      <c r="B324" s="39"/>
      <c r="C324" s="1"/>
      <c r="D324" s="39"/>
      <c r="E324" s="39"/>
      <c r="F324" s="39"/>
      <c r="G324" s="39"/>
      <c r="H324" s="39"/>
      <c r="I324" s="39"/>
      <c r="J324" s="26"/>
      <c r="K324" s="28"/>
      <c r="L324" s="72"/>
      <c r="M324" s="72"/>
      <c r="N324" s="51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ht="15.75" customHeight="1">
      <c r="A325" s="39"/>
      <c r="B325" s="39"/>
      <c r="C325" s="1"/>
      <c r="D325" s="39"/>
      <c r="E325" s="39"/>
      <c r="F325" s="39"/>
      <c r="G325" s="39"/>
      <c r="H325" s="39"/>
      <c r="I325" s="39"/>
      <c r="J325" s="26"/>
      <c r="K325" s="28"/>
      <c r="L325" s="72"/>
      <c r="M325" s="72"/>
      <c r="N325" s="51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ht="15.75" customHeight="1">
      <c r="A326" s="39"/>
      <c r="B326" s="39"/>
      <c r="C326" s="1"/>
      <c r="D326" s="39"/>
      <c r="E326" s="39"/>
      <c r="F326" s="39"/>
      <c r="G326" s="39"/>
      <c r="H326" s="39"/>
      <c r="I326" s="39"/>
      <c r="J326" s="26"/>
      <c r="K326" s="28"/>
      <c r="L326" s="72"/>
      <c r="M326" s="72"/>
      <c r="N326" s="51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ht="15.75" customHeight="1">
      <c r="A327" s="39"/>
      <c r="B327" s="39"/>
      <c r="C327" s="1"/>
      <c r="D327" s="39"/>
      <c r="E327" s="39"/>
      <c r="F327" s="39"/>
      <c r="G327" s="39"/>
      <c r="H327" s="39"/>
      <c r="I327" s="39"/>
      <c r="J327" s="26"/>
      <c r="K327" s="28"/>
      <c r="L327" s="72"/>
      <c r="M327" s="72"/>
      <c r="N327" s="51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ht="15.75" customHeight="1">
      <c r="A328" s="39"/>
      <c r="B328" s="39"/>
      <c r="C328" s="1"/>
      <c r="D328" s="39"/>
      <c r="E328" s="39"/>
      <c r="F328" s="39"/>
      <c r="G328" s="39"/>
      <c r="H328" s="39"/>
      <c r="I328" s="39"/>
      <c r="J328" s="26"/>
      <c r="K328" s="28"/>
      <c r="L328" s="72"/>
      <c r="M328" s="72"/>
      <c r="N328" s="51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ht="15.75" customHeight="1">
      <c r="A329" s="39"/>
      <c r="B329" s="39"/>
      <c r="C329" s="1"/>
      <c r="D329" s="39"/>
      <c r="E329" s="39"/>
      <c r="F329" s="39"/>
      <c r="G329" s="39"/>
      <c r="H329" s="39"/>
      <c r="I329" s="39"/>
      <c r="J329" s="26"/>
      <c r="K329" s="28"/>
      <c r="L329" s="72"/>
      <c r="M329" s="72"/>
      <c r="N329" s="51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ht="15.75" customHeight="1">
      <c r="A330" s="39"/>
      <c r="B330" s="39"/>
      <c r="C330" s="1"/>
      <c r="D330" s="39"/>
      <c r="E330" s="39"/>
      <c r="F330" s="39"/>
      <c r="G330" s="39"/>
      <c r="H330" s="39"/>
      <c r="I330" s="39"/>
      <c r="J330" s="26"/>
      <c r="K330" s="28"/>
      <c r="L330" s="72"/>
      <c r="M330" s="72"/>
      <c r="N330" s="51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ht="15.75" customHeight="1">
      <c r="A331" s="39"/>
      <c r="B331" s="39"/>
      <c r="C331" s="1"/>
      <c r="D331" s="39"/>
      <c r="E331" s="39"/>
      <c r="F331" s="39"/>
      <c r="G331" s="39"/>
      <c r="H331" s="39"/>
      <c r="I331" s="39"/>
      <c r="J331" s="26"/>
      <c r="K331" s="28"/>
      <c r="L331" s="72"/>
      <c r="M331" s="72"/>
      <c r="N331" s="51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ht="15.75" customHeight="1">
      <c r="A332" s="39"/>
      <c r="B332" s="39"/>
      <c r="C332" s="1"/>
      <c r="D332" s="39"/>
      <c r="E332" s="39"/>
      <c r="F332" s="39"/>
      <c r="G332" s="39"/>
      <c r="H332" s="39"/>
      <c r="I332" s="39"/>
      <c r="J332" s="26"/>
      <c r="K332" s="28"/>
      <c r="L332" s="72"/>
      <c r="M332" s="72"/>
      <c r="N332" s="51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ht="15.75" customHeight="1">
      <c r="A333" s="39"/>
      <c r="B333" s="39"/>
      <c r="C333" s="1"/>
      <c r="D333" s="39"/>
      <c r="E333" s="39"/>
      <c r="F333" s="39"/>
      <c r="G333" s="39"/>
      <c r="H333" s="39"/>
      <c r="I333" s="39"/>
      <c r="J333" s="26"/>
      <c r="K333" s="28"/>
      <c r="L333" s="72"/>
      <c r="M333" s="72"/>
      <c r="N333" s="51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ht="15.75" customHeight="1">
      <c r="A334" s="39"/>
      <c r="B334" s="39"/>
      <c r="C334" s="1"/>
      <c r="D334" s="39"/>
      <c r="E334" s="39"/>
      <c r="F334" s="39"/>
      <c r="G334" s="39"/>
      <c r="H334" s="39"/>
      <c r="I334" s="39"/>
      <c r="J334" s="26"/>
      <c r="K334" s="28"/>
      <c r="L334" s="72"/>
      <c r="M334" s="72"/>
      <c r="N334" s="51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ht="15.75" customHeight="1">
      <c r="A335" s="39"/>
      <c r="B335" s="39"/>
      <c r="C335" s="1"/>
      <c r="D335" s="39"/>
      <c r="E335" s="39"/>
      <c r="F335" s="39"/>
      <c r="G335" s="39"/>
      <c r="H335" s="39"/>
      <c r="I335" s="39"/>
      <c r="J335" s="26"/>
      <c r="K335" s="28"/>
      <c r="L335" s="72"/>
      <c r="M335" s="72"/>
      <c r="N335" s="51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ht="15.75" customHeight="1">
      <c r="A336" s="39"/>
      <c r="B336" s="39"/>
      <c r="C336" s="1"/>
      <c r="D336" s="39"/>
      <c r="E336" s="39"/>
      <c r="F336" s="39"/>
      <c r="G336" s="39"/>
      <c r="H336" s="39"/>
      <c r="I336" s="39"/>
      <c r="J336" s="26"/>
      <c r="K336" s="28"/>
      <c r="L336" s="72"/>
      <c r="M336" s="72"/>
      <c r="N336" s="51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ht="15.75" customHeight="1">
      <c r="A337" s="39"/>
      <c r="B337" s="39"/>
      <c r="C337" s="1"/>
      <c r="D337" s="39"/>
      <c r="E337" s="39"/>
      <c r="F337" s="39"/>
      <c r="G337" s="39"/>
      <c r="H337" s="39"/>
      <c r="I337" s="39"/>
      <c r="J337" s="26"/>
      <c r="K337" s="28"/>
      <c r="L337" s="72"/>
      <c r="M337" s="72"/>
      <c r="N337" s="51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ht="15.75" customHeight="1">
      <c r="A338" s="39"/>
      <c r="B338" s="39"/>
      <c r="C338" s="1"/>
      <c r="D338" s="39"/>
      <c r="E338" s="39"/>
      <c r="F338" s="39"/>
      <c r="G338" s="39"/>
      <c r="H338" s="39"/>
      <c r="I338" s="39"/>
      <c r="J338" s="26"/>
      <c r="K338" s="28"/>
      <c r="L338" s="72"/>
      <c r="M338" s="72"/>
      <c r="N338" s="51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ht="15.75" customHeight="1">
      <c r="A339" s="39"/>
      <c r="B339" s="39"/>
      <c r="C339" s="1"/>
      <c r="D339" s="39"/>
      <c r="E339" s="39"/>
      <c r="F339" s="39"/>
      <c r="G339" s="39"/>
      <c r="H339" s="39"/>
      <c r="I339" s="39"/>
      <c r="J339" s="26"/>
      <c r="K339" s="28"/>
      <c r="L339" s="72"/>
      <c r="M339" s="72"/>
      <c r="N339" s="51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ht="15.75" customHeight="1">
      <c r="A340" s="39"/>
      <c r="B340" s="39"/>
      <c r="C340" s="1"/>
      <c r="D340" s="39"/>
      <c r="E340" s="39"/>
      <c r="F340" s="39"/>
      <c r="G340" s="39"/>
      <c r="H340" s="39"/>
      <c r="I340" s="39"/>
      <c r="J340" s="26"/>
      <c r="K340" s="28"/>
      <c r="L340" s="72"/>
      <c r="M340" s="72"/>
      <c r="N340" s="51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ht="15.75" customHeight="1">
      <c r="A341" s="39"/>
      <c r="B341" s="39"/>
      <c r="C341" s="1"/>
      <c r="D341" s="39"/>
      <c r="E341" s="39"/>
      <c r="F341" s="39"/>
      <c r="G341" s="39"/>
      <c r="H341" s="39"/>
      <c r="I341" s="39"/>
      <c r="J341" s="26"/>
      <c r="K341" s="28"/>
      <c r="L341" s="72"/>
      <c r="M341" s="72"/>
      <c r="N341" s="51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ht="15.75" customHeight="1">
      <c r="A342" s="39"/>
      <c r="B342" s="39"/>
      <c r="C342" s="1"/>
      <c r="D342" s="39"/>
      <c r="E342" s="39"/>
      <c r="F342" s="39"/>
      <c r="G342" s="39"/>
      <c r="H342" s="39"/>
      <c r="I342" s="39"/>
      <c r="J342" s="26"/>
      <c r="K342" s="28"/>
      <c r="L342" s="72"/>
      <c r="M342" s="72"/>
      <c r="N342" s="51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ht="15.75" customHeight="1">
      <c r="A343" s="39"/>
      <c r="B343" s="39"/>
      <c r="C343" s="1"/>
      <c r="D343" s="39"/>
      <c r="E343" s="39"/>
      <c r="F343" s="39"/>
      <c r="G343" s="39"/>
      <c r="H343" s="39"/>
      <c r="I343" s="39"/>
      <c r="J343" s="26"/>
      <c r="K343" s="28"/>
      <c r="L343" s="72"/>
      <c r="M343" s="72"/>
      <c r="N343" s="51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ht="15.75" customHeight="1">
      <c r="A344" s="39"/>
      <c r="B344" s="39"/>
      <c r="C344" s="1"/>
      <c r="D344" s="39"/>
      <c r="E344" s="39"/>
      <c r="F344" s="39"/>
      <c r="G344" s="39"/>
      <c r="H344" s="39"/>
      <c r="I344" s="39"/>
      <c r="J344" s="26"/>
      <c r="K344" s="28"/>
      <c r="L344" s="72"/>
      <c r="M344" s="72"/>
      <c r="N344" s="51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ht="15.75" customHeight="1">
      <c r="A345" s="39"/>
      <c r="B345" s="39"/>
      <c r="C345" s="1"/>
      <c r="D345" s="39"/>
      <c r="E345" s="39"/>
      <c r="F345" s="39"/>
      <c r="G345" s="39"/>
      <c r="H345" s="39"/>
      <c r="I345" s="39"/>
      <c r="J345" s="26"/>
      <c r="K345" s="28"/>
      <c r="L345" s="72"/>
      <c r="M345" s="72"/>
      <c r="N345" s="51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ht="15.75" customHeight="1">
      <c r="A346" s="39"/>
      <c r="B346" s="39"/>
      <c r="C346" s="1"/>
      <c r="D346" s="39"/>
      <c r="E346" s="39"/>
      <c r="F346" s="39"/>
      <c r="G346" s="39"/>
      <c r="H346" s="39"/>
      <c r="I346" s="39"/>
      <c r="J346" s="26"/>
      <c r="K346" s="28"/>
      <c r="L346" s="72"/>
      <c r="M346" s="72"/>
      <c r="N346" s="51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ht="15.75" customHeight="1">
      <c r="A347" s="39"/>
      <c r="B347" s="39"/>
      <c r="C347" s="1"/>
      <c r="D347" s="39"/>
      <c r="E347" s="39"/>
      <c r="F347" s="39"/>
      <c r="G347" s="39"/>
      <c r="H347" s="39"/>
      <c r="I347" s="39"/>
      <c r="J347" s="26"/>
      <c r="K347" s="28"/>
      <c r="L347" s="72"/>
      <c r="M347" s="72"/>
      <c r="N347" s="51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ht="15.75" customHeight="1">
      <c r="A348" s="39"/>
      <c r="B348" s="39"/>
      <c r="C348" s="1"/>
      <c r="D348" s="39"/>
      <c r="E348" s="39"/>
      <c r="F348" s="39"/>
      <c r="G348" s="39"/>
      <c r="H348" s="39"/>
      <c r="I348" s="39"/>
      <c r="J348" s="26"/>
      <c r="K348" s="28"/>
      <c r="L348" s="72"/>
      <c r="M348" s="72"/>
      <c r="N348" s="51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ht="15.75" customHeight="1">
      <c r="A349" s="39"/>
      <c r="B349" s="39"/>
      <c r="C349" s="1"/>
      <c r="D349" s="39"/>
      <c r="E349" s="39"/>
      <c r="F349" s="39"/>
      <c r="G349" s="39"/>
      <c r="H349" s="39"/>
      <c r="I349" s="39"/>
      <c r="J349" s="26"/>
      <c r="K349" s="28"/>
      <c r="L349" s="72"/>
      <c r="M349" s="72"/>
      <c r="N349" s="51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ht="15.75" customHeight="1">
      <c r="A350" s="39"/>
      <c r="B350" s="39"/>
      <c r="C350" s="1"/>
      <c r="D350" s="39"/>
      <c r="E350" s="39"/>
      <c r="F350" s="39"/>
      <c r="G350" s="39"/>
      <c r="H350" s="39"/>
      <c r="I350" s="39"/>
      <c r="J350" s="26"/>
      <c r="K350" s="28"/>
      <c r="L350" s="72"/>
      <c r="M350" s="72"/>
      <c r="N350" s="51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ht="15.75" customHeight="1">
      <c r="A351" s="39"/>
      <c r="B351" s="39"/>
      <c r="C351" s="1"/>
      <c r="D351" s="39"/>
      <c r="E351" s="39"/>
      <c r="F351" s="39"/>
      <c r="G351" s="39"/>
      <c r="H351" s="39"/>
      <c r="I351" s="39"/>
      <c r="J351" s="26"/>
      <c r="K351" s="28"/>
      <c r="L351" s="72"/>
      <c r="M351" s="72"/>
      <c r="N351" s="51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ht="15.75" customHeight="1">
      <c r="A352" s="39"/>
      <c r="B352" s="39"/>
      <c r="C352" s="1"/>
      <c r="D352" s="39"/>
      <c r="E352" s="39"/>
      <c r="F352" s="39"/>
      <c r="G352" s="39"/>
      <c r="H352" s="39"/>
      <c r="I352" s="39"/>
      <c r="J352" s="26"/>
      <c r="K352" s="28"/>
      <c r="L352" s="72"/>
      <c r="M352" s="72"/>
      <c r="N352" s="51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ht="15.75" customHeight="1">
      <c r="A353" s="39"/>
      <c r="B353" s="39"/>
      <c r="C353" s="1"/>
      <c r="D353" s="39"/>
      <c r="E353" s="39"/>
      <c r="F353" s="39"/>
      <c r="G353" s="39"/>
      <c r="H353" s="39"/>
      <c r="I353" s="39"/>
      <c r="J353" s="26"/>
      <c r="K353" s="28"/>
      <c r="L353" s="72"/>
      <c r="M353" s="72"/>
      <c r="N353" s="51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ht="15.75" customHeight="1">
      <c r="A354" s="39"/>
      <c r="B354" s="39"/>
      <c r="C354" s="1"/>
      <c r="D354" s="39"/>
      <c r="E354" s="39"/>
      <c r="F354" s="39"/>
      <c r="G354" s="39"/>
      <c r="H354" s="39"/>
      <c r="I354" s="39"/>
      <c r="J354" s="26"/>
      <c r="K354" s="28"/>
      <c r="L354" s="72"/>
      <c r="M354" s="72"/>
      <c r="N354" s="51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ht="15.75" customHeight="1">
      <c r="A355" s="39"/>
      <c r="B355" s="39"/>
      <c r="C355" s="1"/>
      <c r="D355" s="39"/>
      <c r="E355" s="39"/>
      <c r="F355" s="39"/>
      <c r="G355" s="39"/>
      <c r="H355" s="39"/>
      <c r="I355" s="39"/>
      <c r="J355" s="26"/>
      <c r="K355" s="28"/>
      <c r="L355" s="72"/>
      <c r="M355" s="72"/>
      <c r="N355" s="51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ht="15.75" customHeight="1">
      <c r="A356" s="39"/>
      <c r="B356" s="39"/>
      <c r="C356" s="1"/>
      <c r="D356" s="39"/>
      <c r="E356" s="39"/>
      <c r="F356" s="39"/>
      <c r="G356" s="39"/>
      <c r="H356" s="39"/>
      <c r="I356" s="39"/>
      <c r="J356" s="26"/>
      <c r="K356" s="28"/>
      <c r="L356" s="72"/>
      <c r="M356" s="72"/>
      <c r="N356" s="51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ht="15.75" customHeight="1">
      <c r="A357" s="39"/>
      <c r="B357" s="39"/>
      <c r="C357" s="1"/>
      <c r="D357" s="39"/>
      <c r="E357" s="39"/>
      <c r="F357" s="39"/>
      <c r="G357" s="39"/>
      <c r="H357" s="39"/>
      <c r="I357" s="39"/>
      <c r="J357" s="26"/>
      <c r="K357" s="28"/>
      <c r="L357" s="72"/>
      <c r="M357" s="72"/>
      <c r="N357" s="51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ht="15.75" customHeight="1">
      <c r="A358" s="39"/>
      <c r="B358" s="39"/>
      <c r="C358" s="1"/>
      <c r="D358" s="39"/>
      <c r="E358" s="39"/>
      <c r="F358" s="39"/>
      <c r="G358" s="39"/>
      <c r="H358" s="39"/>
      <c r="I358" s="39"/>
      <c r="J358" s="26"/>
      <c r="K358" s="28"/>
      <c r="L358" s="72"/>
      <c r="M358" s="72"/>
      <c r="N358" s="51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ht="15.75" customHeight="1">
      <c r="A359" s="39"/>
      <c r="B359" s="39"/>
      <c r="C359" s="1"/>
      <c r="D359" s="39"/>
      <c r="E359" s="39"/>
      <c r="F359" s="39"/>
      <c r="G359" s="39"/>
      <c r="H359" s="39"/>
      <c r="I359" s="39"/>
      <c r="J359" s="26"/>
      <c r="K359" s="28"/>
      <c r="L359" s="72"/>
      <c r="M359" s="72"/>
      <c r="N359" s="51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ht="15.75" customHeight="1">
      <c r="A360" s="39"/>
      <c r="B360" s="39"/>
      <c r="C360" s="1"/>
      <c r="D360" s="39"/>
      <c r="E360" s="39"/>
      <c r="F360" s="39"/>
      <c r="G360" s="39"/>
      <c r="H360" s="39"/>
      <c r="I360" s="39"/>
      <c r="J360" s="26"/>
      <c r="K360" s="28"/>
      <c r="L360" s="72"/>
      <c r="M360" s="72"/>
      <c r="N360" s="51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ht="15.75" customHeight="1">
      <c r="A361" s="39"/>
      <c r="B361" s="39"/>
      <c r="C361" s="1"/>
      <c r="D361" s="39"/>
      <c r="E361" s="39"/>
      <c r="F361" s="39"/>
      <c r="G361" s="39"/>
      <c r="H361" s="39"/>
      <c r="I361" s="39"/>
      <c r="J361" s="26"/>
      <c r="K361" s="28"/>
      <c r="L361" s="72"/>
      <c r="M361" s="72"/>
      <c r="N361" s="51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ht="15.75" customHeight="1">
      <c r="A362" s="39"/>
      <c r="B362" s="39"/>
      <c r="C362" s="1"/>
      <c r="D362" s="39"/>
      <c r="E362" s="39"/>
      <c r="F362" s="39"/>
      <c r="G362" s="39"/>
      <c r="H362" s="39"/>
      <c r="I362" s="39"/>
      <c r="J362" s="26"/>
      <c r="K362" s="28"/>
      <c r="L362" s="72"/>
      <c r="M362" s="72"/>
      <c r="N362" s="51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ht="15.75" customHeight="1">
      <c r="A363" s="39"/>
      <c r="B363" s="39"/>
      <c r="C363" s="1"/>
      <c r="D363" s="39"/>
      <c r="E363" s="39"/>
      <c r="F363" s="39"/>
      <c r="G363" s="39"/>
      <c r="H363" s="39"/>
      <c r="I363" s="39"/>
      <c r="J363" s="26"/>
      <c r="K363" s="28"/>
      <c r="L363" s="72"/>
      <c r="M363" s="72"/>
      <c r="N363" s="51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ht="15.75" customHeight="1">
      <c r="A364" s="39"/>
      <c r="B364" s="39"/>
      <c r="C364" s="1"/>
      <c r="D364" s="39"/>
      <c r="E364" s="39"/>
      <c r="F364" s="39"/>
      <c r="G364" s="39"/>
      <c r="H364" s="39"/>
      <c r="I364" s="39"/>
      <c r="J364" s="26"/>
      <c r="K364" s="28"/>
      <c r="L364" s="72"/>
      <c r="M364" s="72"/>
      <c r="N364" s="51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ht="15.75" customHeight="1">
      <c r="A365" s="39"/>
      <c r="B365" s="39"/>
      <c r="C365" s="1"/>
      <c r="D365" s="39"/>
      <c r="E365" s="39"/>
      <c r="F365" s="39"/>
      <c r="G365" s="39"/>
      <c r="H365" s="39"/>
      <c r="I365" s="39"/>
      <c r="J365" s="26"/>
      <c r="K365" s="28"/>
      <c r="L365" s="72"/>
      <c r="M365" s="72"/>
      <c r="N365" s="51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ht="15.75" customHeight="1">
      <c r="A366" s="39"/>
      <c r="B366" s="39"/>
      <c r="C366" s="1"/>
      <c r="D366" s="39"/>
      <c r="E366" s="39"/>
      <c r="F366" s="39"/>
      <c r="G366" s="39"/>
      <c r="H366" s="39"/>
      <c r="I366" s="39"/>
      <c r="J366" s="26"/>
      <c r="K366" s="28"/>
      <c r="L366" s="72"/>
      <c r="M366" s="72"/>
      <c r="N366" s="51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ht="15.75" customHeight="1">
      <c r="A367" s="39"/>
      <c r="B367" s="39"/>
      <c r="C367" s="1"/>
      <c r="D367" s="39"/>
      <c r="E367" s="39"/>
      <c r="F367" s="39"/>
      <c r="G367" s="39"/>
      <c r="H367" s="39"/>
      <c r="I367" s="39"/>
      <c r="J367" s="26"/>
      <c r="K367" s="28"/>
      <c r="L367" s="72"/>
      <c r="M367" s="72"/>
      <c r="N367" s="51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26"/>
      <c r="K368" s="28"/>
      <c r="L368" s="72"/>
      <c r="M368" s="72"/>
      <c r="N368" s="51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26"/>
      <c r="K369" s="28"/>
      <c r="L369" s="72"/>
      <c r="M369" s="72"/>
      <c r="N369" s="51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26"/>
      <c r="K370" s="28"/>
      <c r="L370" s="72"/>
      <c r="M370" s="72"/>
      <c r="N370" s="51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26"/>
      <c r="K371" s="28"/>
      <c r="L371" s="72"/>
      <c r="M371" s="72"/>
      <c r="N371" s="51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26"/>
      <c r="K372" s="28"/>
      <c r="L372" s="72"/>
      <c r="M372" s="72"/>
      <c r="N372" s="51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26"/>
      <c r="K373" s="28"/>
      <c r="L373" s="72"/>
      <c r="M373" s="72"/>
      <c r="N373" s="51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26"/>
      <c r="K374" s="28"/>
      <c r="L374" s="72"/>
      <c r="M374" s="72"/>
      <c r="N374" s="51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26"/>
      <c r="K375" s="28"/>
      <c r="L375" s="72"/>
      <c r="M375" s="72"/>
      <c r="N375" s="51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26"/>
      <c r="K376" s="28"/>
      <c r="L376" s="72"/>
      <c r="M376" s="72"/>
      <c r="N376" s="51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26"/>
      <c r="K377" s="28"/>
      <c r="L377" s="72"/>
      <c r="M377" s="72"/>
      <c r="N377" s="51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26"/>
      <c r="K378" s="28"/>
      <c r="L378" s="72"/>
      <c r="M378" s="72"/>
      <c r="N378" s="51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26"/>
      <c r="K379" s="28"/>
      <c r="L379" s="72"/>
      <c r="M379" s="72"/>
      <c r="N379" s="51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26"/>
      <c r="K380" s="28"/>
      <c r="L380" s="72"/>
      <c r="M380" s="72"/>
      <c r="N380" s="51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26"/>
      <c r="K381" s="28"/>
      <c r="L381" s="72"/>
      <c r="M381" s="72"/>
      <c r="N381" s="51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26"/>
      <c r="K382" s="28"/>
      <c r="L382" s="72"/>
      <c r="M382" s="72"/>
      <c r="N382" s="51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26"/>
      <c r="K383" s="28"/>
      <c r="L383" s="72"/>
      <c r="M383" s="72"/>
      <c r="N383" s="51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26"/>
      <c r="K384" s="28"/>
      <c r="L384" s="72"/>
      <c r="M384" s="72"/>
      <c r="N384" s="51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26"/>
      <c r="K385" s="28"/>
      <c r="L385" s="72"/>
      <c r="M385" s="72"/>
      <c r="N385" s="51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26"/>
      <c r="K386" s="28"/>
      <c r="L386" s="72"/>
      <c r="M386" s="72"/>
      <c r="N386" s="51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26"/>
      <c r="K387" s="28"/>
      <c r="L387" s="72"/>
      <c r="M387" s="72"/>
      <c r="N387" s="51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26"/>
      <c r="K388" s="28"/>
      <c r="L388" s="72"/>
      <c r="M388" s="72"/>
      <c r="N388" s="51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26"/>
      <c r="K389" s="28"/>
      <c r="L389" s="72"/>
      <c r="M389" s="72"/>
      <c r="N389" s="51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26"/>
      <c r="K390" s="28"/>
      <c r="L390" s="72"/>
      <c r="M390" s="72"/>
      <c r="N390" s="51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26"/>
      <c r="K391" s="28"/>
      <c r="L391" s="72"/>
      <c r="M391" s="72"/>
      <c r="N391" s="51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26"/>
      <c r="K392" s="28"/>
      <c r="L392" s="72"/>
      <c r="M392" s="72"/>
      <c r="N392" s="51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26"/>
      <c r="K393" s="28"/>
      <c r="L393" s="72"/>
      <c r="M393" s="72"/>
      <c r="N393" s="51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26"/>
      <c r="K394" s="28"/>
      <c r="L394" s="72"/>
      <c r="M394" s="72"/>
      <c r="N394" s="51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26"/>
      <c r="K395" s="28"/>
      <c r="L395" s="72"/>
      <c r="M395" s="72"/>
      <c r="N395" s="51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26"/>
      <c r="K396" s="28"/>
      <c r="L396" s="72"/>
      <c r="M396" s="72"/>
      <c r="N396" s="51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26"/>
      <c r="K397" s="28"/>
      <c r="L397" s="72"/>
      <c r="M397" s="72"/>
      <c r="N397" s="51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26"/>
      <c r="K398" s="28"/>
      <c r="L398" s="72"/>
      <c r="M398" s="72"/>
      <c r="N398" s="51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26"/>
      <c r="K399" s="28"/>
      <c r="L399" s="72"/>
      <c r="M399" s="72"/>
      <c r="N399" s="51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26"/>
      <c r="K400" s="28"/>
      <c r="L400" s="72"/>
      <c r="M400" s="72"/>
      <c r="N400" s="51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26"/>
      <c r="K401" s="28"/>
      <c r="L401" s="72"/>
      <c r="M401" s="72"/>
      <c r="N401" s="51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26"/>
      <c r="K402" s="28"/>
      <c r="L402" s="72"/>
      <c r="M402" s="72"/>
      <c r="N402" s="51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26"/>
      <c r="K403" s="28"/>
      <c r="L403" s="72"/>
      <c r="M403" s="72"/>
      <c r="N403" s="51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26"/>
      <c r="K404" s="28"/>
      <c r="L404" s="72"/>
      <c r="M404" s="72"/>
      <c r="N404" s="51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26"/>
      <c r="K405" s="28"/>
      <c r="L405" s="72"/>
      <c r="M405" s="72"/>
      <c r="N405" s="51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26"/>
      <c r="K406" s="28"/>
      <c r="L406" s="72"/>
      <c r="M406" s="72"/>
      <c r="N406" s="51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26"/>
      <c r="K407" s="28"/>
      <c r="L407" s="72"/>
      <c r="M407" s="72"/>
      <c r="N407" s="51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26"/>
      <c r="K408" s="28"/>
      <c r="L408" s="72"/>
      <c r="M408" s="72"/>
      <c r="N408" s="51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26"/>
      <c r="K409" s="28"/>
      <c r="L409" s="72"/>
      <c r="M409" s="72"/>
      <c r="N409" s="51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26"/>
      <c r="K410" s="28"/>
      <c r="L410" s="72"/>
      <c r="M410" s="72"/>
      <c r="N410" s="51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26"/>
      <c r="K411" s="28"/>
      <c r="L411" s="72"/>
      <c r="M411" s="72"/>
      <c r="N411" s="51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26"/>
      <c r="K412" s="28"/>
      <c r="L412" s="72"/>
      <c r="M412" s="72"/>
      <c r="N412" s="51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26"/>
      <c r="K413" s="28"/>
      <c r="L413" s="72"/>
      <c r="M413" s="72"/>
      <c r="N413" s="51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26"/>
      <c r="K414" s="28"/>
      <c r="L414" s="72"/>
      <c r="M414" s="72"/>
      <c r="N414" s="51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26"/>
      <c r="K415" s="28"/>
      <c r="L415" s="72"/>
      <c r="M415" s="72"/>
      <c r="N415" s="51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26"/>
      <c r="K416" s="28"/>
      <c r="L416" s="72"/>
      <c r="M416" s="72"/>
      <c r="N416" s="51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26"/>
      <c r="K417" s="28"/>
      <c r="L417" s="72"/>
      <c r="M417" s="72"/>
      <c r="N417" s="51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26"/>
      <c r="K418" s="28"/>
      <c r="L418" s="72"/>
      <c r="M418" s="72"/>
      <c r="N418" s="51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26"/>
      <c r="K419" s="28"/>
      <c r="L419" s="72"/>
      <c r="M419" s="72"/>
      <c r="N419" s="51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26"/>
      <c r="K420" s="28"/>
      <c r="L420" s="72"/>
      <c r="M420" s="72"/>
      <c r="N420" s="51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26"/>
      <c r="K421" s="28"/>
      <c r="L421" s="72"/>
      <c r="M421" s="72"/>
      <c r="N421" s="51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26"/>
      <c r="K422" s="28"/>
      <c r="L422" s="72"/>
      <c r="M422" s="72"/>
      <c r="N422" s="51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26"/>
      <c r="K423" s="28"/>
      <c r="L423" s="72"/>
      <c r="M423" s="72"/>
      <c r="N423" s="51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26"/>
      <c r="K424" s="28"/>
      <c r="L424" s="72"/>
      <c r="M424" s="72"/>
      <c r="N424" s="51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26"/>
      <c r="K425" s="28"/>
      <c r="L425" s="72"/>
      <c r="M425" s="72"/>
      <c r="N425" s="51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26"/>
      <c r="K426" s="28"/>
      <c r="L426" s="72"/>
      <c r="M426" s="72"/>
      <c r="N426" s="51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26"/>
      <c r="K427" s="28"/>
      <c r="L427" s="72"/>
      <c r="M427" s="72"/>
      <c r="N427" s="51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26"/>
      <c r="K428" s="28"/>
      <c r="L428" s="72"/>
      <c r="M428" s="72"/>
      <c r="N428" s="51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26"/>
      <c r="K429" s="28"/>
      <c r="L429" s="72"/>
      <c r="M429" s="72"/>
      <c r="N429" s="51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26"/>
      <c r="K430" s="28"/>
      <c r="L430" s="72"/>
      <c r="M430" s="72"/>
      <c r="N430" s="51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26"/>
      <c r="K431" s="28"/>
      <c r="L431" s="72"/>
      <c r="M431" s="72"/>
      <c r="N431" s="51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26"/>
      <c r="K432" s="28"/>
      <c r="L432" s="72"/>
      <c r="M432" s="72"/>
      <c r="N432" s="51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26"/>
      <c r="K433" s="28"/>
      <c r="L433" s="72"/>
      <c r="M433" s="72"/>
      <c r="N433" s="51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26"/>
      <c r="K434" s="28"/>
      <c r="L434" s="72"/>
      <c r="M434" s="72"/>
      <c r="N434" s="51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26"/>
      <c r="K435" s="28"/>
      <c r="L435" s="72"/>
      <c r="M435" s="72"/>
      <c r="N435" s="51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26"/>
      <c r="K436" s="28"/>
      <c r="L436" s="72"/>
      <c r="M436" s="72"/>
      <c r="N436" s="51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26"/>
      <c r="K437" s="28"/>
      <c r="L437" s="72"/>
      <c r="M437" s="72"/>
      <c r="N437" s="51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26"/>
      <c r="K438" s="28"/>
      <c r="L438" s="72"/>
      <c r="M438" s="72"/>
      <c r="N438" s="51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26"/>
      <c r="K439" s="28"/>
      <c r="L439" s="72"/>
      <c r="M439" s="72"/>
      <c r="N439" s="51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26"/>
      <c r="K440" s="28"/>
      <c r="L440" s="72"/>
      <c r="M440" s="72"/>
      <c r="N440" s="51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26"/>
      <c r="K441" s="28"/>
      <c r="L441" s="72"/>
      <c r="M441" s="72"/>
      <c r="N441" s="51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26"/>
      <c r="K442" s="28"/>
      <c r="L442" s="72"/>
      <c r="M442" s="72"/>
      <c r="N442" s="51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26"/>
      <c r="K443" s="28"/>
      <c r="L443" s="72"/>
      <c r="M443" s="72"/>
      <c r="N443" s="51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26"/>
      <c r="K444" s="28"/>
      <c r="L444" s="72"/>
      <c r="M444" s="72"/>
      <c r="N444" s="51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26"/>
      <c r="K445" s="28"/>
      <c r="L445" s="72"/>
      <c r="M445" s="72"/>
      <c r="N445" s="51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26"/>
      <c r="K446" s="28"/>
      <c r="L446" s="72"/>
      <c r="M446" s="72"/>
      <c r="N446" s="51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26"/>
      <c r="K447" s="28"/>
      <c r="L447" s="72"/>
      <c r="M447" s="72"/>
      <c r="N447" s="51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26"/>
      <c r="K448" s="28"/>
      <c r="L448" s="72"/>
      <c r="M448" s="72"/>
      <c r="N448" s="51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26"/>
      <c r="K449" s="28"/>
      <c r="L449" s="72"/>
      <c r="M449" s="72"/>
      <c r="N449" s="51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26"/>
      <c r="K450" s="28"/>
      <c r="L450" s="72"/>
      <c r="M450" s="72"/>
      <c r="N450" s="51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26"/>
      <c r="K451" s="28"/>
      <c r="L451" s="72"/>
      <c r="M451" s="72"/>
      <c r="N451" s="51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26"/>
      <c r="K452" s="28"/>
      <c r="L452" s="72"/>
      <c r="M452" s="72"/>
      <c r="N452" s="51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26"/>
      <c r="K453" s="28"/>
      <c r="L453" s="72"/>
      <c r="M453" s="72"/>
      <c r="N453" s="51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26"/>
      <c r="K454" s="28"/>
      <c r="L454" s="72"/>
      <c r="M454" s="72"/>
      <c r="N454" s="51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26"/>
      <c r="K455" s="28"/>
      <c r="L455" s="72"/>
      <c r="M455" s="72"/>
      <c r="N455" s="51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26"/>
      <c r="K456" s="28"/>
      <c r="L456" s="72"/>
      <c r="M456" s="72"/>
      <c r="N456" s="51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26"/>
      <c r="K457" s="28"/>
      <c r="L457" s="72"/>
      <c r="M457" s="72"/>
      <c r="N457" s="51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26"/>
      <c r="K458" s="28"/>
      <c r="L458" s="72"/>
      <c r="M458" s="72"/>
      <c r="N458" s="51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26"/>
      <c r="K459" s="28"/>
      <c r="L459" s="72"/>
      <c r="M459" s="72"/>
      <c r="N459" s="51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26"/>
      <c r="K460" s="28"/>
      <c r="L460" s="72"/>
      <c r="M460" s="72"/>
      <c r="N460" s="51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26"/>
      <c r="K461" s="28"/>
      <c r="L461" s="72"/>
      <c r="M461" s="72"/>
      <c r="N461" s="51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26"/>
      <c r="K462" s="28"/>
      <c r="L462" s="72"/>
      <c r="M462" s="72"/>
      <c r="N462" s="51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26"/>
      <c r="K463" s="28"/>
      <c r="L463" s="72"/>
      <c r="M463" s="72"/>
      <c r="N463" s="51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26"/>
      <c r="K464" s="28"/>
      <c r="L464" s="72"/>
      <c r="M464" s="72"/>
      <c r="N464" s="51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26"/>
      <c r="K465" s="28"/>
      <c r="L465" s="72"/>
      <c r="M465" s="72"/>
      <c r="N465" s="51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26"/>
      <c r="K466" s="28"/>
      <c r="L466" s="72"/>
      <c r="M466" s="72"/>
      <c r="N466" s="51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26"/>
      <c r="K467" s="28"/>
      <c r="L467" s="72"/>
      <c r="M467" s="72"/>
      <c r="N467" s="51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26"/>
      <c r="K468" s="28"/>
      <c r="L468" s="72"/>
      <c r="M468" s="72"/>
      <c r="N468" s="51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26"/>
      <c r="K469" s="28"/>
      <c r="L469" s="72"/>
      <c r="M469" s="72"/>
      <c r="N469" s="51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26"/>
      <c r="K470" s="28"/>
      <c r="L470" s="72"/>
      <c r="M470" s="72"/>
      <c r="N470" s="51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26"/>
      <c r="K471" s="28"/>
      <c r="L471" s="72"/>
      <c r="M471" s="72"/>
      <c r="N471" s="51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26"/>
      <c r="K472" s="28"/>
      <c r="L472" s="72"/>
      <c r="M472" s="72"/>
      <c r="N472" s="51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26"/>
      <c r="K473" s="28"/>
      <c r="L473" s="72"/>
      <c r="M473" s="72"/>
      <c r="N473" s="51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26"/>
      <c r="K474" s="28"/>
      <c r="L474" s="72"/>
      <c r="M474" s="72"/>
      <c r="N474" s="51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26"/>
      <c r="K475" s="28"/>
      <c r="L475" s="72"/>
      <c r="M475" s="72"/>
      <c r="N475" s="51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26"/>
      <c r="K476" s="28"/>
      <c r="L476" s="72"/>
      <c r="M476" s="72"/>
      <c r="N476" s="51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26"/>
      <c r="K477" s="28"/>
      <c r="L477" s="72"/>
      <c r="M477" s="72"/>
      <c r="N477" s="51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26"/>
      <c r="K478" s="28"/>
      <c r="L478" s="72"/>
      <c r="M478" s="72"/>
      <c r="N478" s="51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26"/>
      <c r="K479" s="28"/>
      <c r="L479" s="72"/>
      <c r="M479" s="72"/>
      <c r="N479" s="51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26"/>
      <c r="K480" s="28"/>
      <c r="L480" s="72"/>
      <c r="M480" s="72"/>
      <c r="N480" s="51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26"/>
      <c r="K481" s="28"/>
      <c r="L481" s="72"/>
      <c r="M481" s="72"/>
      <c r="N481" s="51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26"/>
      <c r="K482" s="28"/>
      <c r="L482" s="72"/>
      <c r="M482" s="72"/>
      <c r="N482" s="51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26"/>
      <c r="K483" s="28"/>
      <c r="L483" s="72"/>
      <c r="M483" s="72"/>
      <c r="N483" s="51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26"/>
      <c r="K484" s="28"/>
      <c r="L484" s="72"/>
      <c r="M484" s="72"/>
      <c r="N484" s="51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26"/>
      <c r="K485" s="28"/>
      <c r="L485" s="72"/>
      <c r="M485" s="72"/>
      <c r="N485" s="51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26"/>
      <c r="K486" s="28"/>
      <c r="L486" s="72"/>
      <c r="M486" s="72"/>
      <c r="N486" s="51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26"/>
      <c r="K487" s="28"/>
      <c r="L487" s="72"/>
      <c r="M487" s="72"/>
      <c r="N487" s="51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26"/>
      <c r="K488" s="28"/>
      <c r="L488" s="72"/>
      <c r="M488" s="72"/>
      <c r="N488" s="51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26"/>
      <c r="K489" s="28"/>
      <c r="L489" s="72"/>
      <c r="M489" s="72"/>
      <c r="N489" s="51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26"/>
      <c r="K490" s="28"/>
      <c r="L490" s="72"/>
      <c r="M490" s="72"/>
      <c r="N490" s="51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26"/>
      <c r="K491" s="28"/>
      <c r="L491" s="72"/>
      <c r="M491" s="72"/>
      <c r="N491" s="51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26"/>
      <c r="K492" s="28"/>
      <c r="L492" s="72"/>
      <c r="M492" s="72"/>
      <c r="N492" s="51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26"/>
      <c r="K493" s="28"/>
      <c r="L493" s="72"/>
      <c r="M493" s="72"/>
      <c r="N493" s="51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26"/>
      <c r="K494" s="28"/>
      <c r="L494" s="72"/>
      <c r="M494" s="72"/>
      <c r="N494" s="51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26"/>
      <c r="K495" s="28"/>
      <c r="L495" s="72"/>
      <c r="M495" s="72"/>
      <c r="N495" s="51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26"/>
      <c r="K496" s="28"/>
      <c r="L496" s="72"/>
      <c r="M496" s="72"/>
      <c r="N496" s="51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26"/>
      <c r="K497" s="28"/>
      <c r="L497" s="72"/>
      <c r="M497" s="72"/>
      <c r="N497" s="51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26"/>
      <c r="K498" s="28"/>
      <c r="L498" s="72"/>
      <c r="M498" s="72"/>
      <c r="N498" s="51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26"/>
      <c r="K499" s="28"/>
      <c r="L499" s="72"/>
      <c r="M499" s="72"/>
      <c r="N499" s="51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26"/>
      <c r="K500" s="28"/>
      <c r="L500" s="72"/>
      <c r="M500" s="72"/>
      <c r="N500" s="51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26"/>
      <c r="K501" s="28"/>
      <c r="L501" s="72"/>
      <c r="M501" s="72"/>
      <c r="N501" s="51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26"/>
      <c r="K502" s="28"/>
      <c r="L502" s="72"/>
      <c r="M502" s="72"/>
      <c r="N502" s="51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26"/>
      <c r="K503" s="28"/>
      <c r="L503" s="72"/>
      <c r="M503" s="72"/>
      <c r="N503" s="51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26"/>
      <c r="K504" s="28"/>
      <c r="L504" s="72"/>
      <c r="M504" s="72"/>
      <c r="N504" s="51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26"/>
      <c r="K505" s="28"/>
      <c r="L505" s="72"/>
      <c r="M505" s="72"/>
      <c r="N505" s="51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26"/>
      <c r="K506" s="28"/>
      <c r="L506" s="72"/>
      <c r="M506" s="72"/>
      <c r="N506" s="51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26"/>
      <c r="K507" s="28"/>
      <c r="L507" s="72"/>
      <c r="M507" s="72"/>
      <c r="N507" s="51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26"/>
      <c r="K508" s="28"/>
      <c r="L508" s="72"/>
      <c r="M508" s="72"/>
      <c r="N508" s="51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26"/>
      <c r="K509" s="28"/>
      <c r="L509" s="72"/>
      <c r="M509" s="72"/>
      <c r="N509" s="51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26"/>
      <c r="K510" s="28"/>
      <c r="L510" s="72"/>
      <c r="M510" s="72"/>
      <c r="N510" s="51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26"/>
      <c r="K511" s="28"/>
      <c r="L511" s="72"/>
      <c r="M511" s="72"/>
      <c r="N511" s="51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26"/>
      <c r="K512" s="28"/>
      <c r="L512" s="72"/>
      <c r="M512" s="72"/>
      <c r="N512" s="51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26"/>
      <c r="K513" s="28"/>
      <c r="L513" s="72"/>
      <c r="M513" s="72"/>
      <c r="N513" s="51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26"/>
      <c r="K514" s="28"/>
      <c r="L514" s="72"/>
      <c r="M514" s="72"/>
      <c r="N514" s="51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26"/>
      <c r="K515" s="28"/>
      <c r="L515" s="72"/>
      <c r="M515" s="72"/>
      <c r="N515" s="51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26"/>
      <c r="K516" s="28"/>
      <c r="L516" s="72"/>
      <c r="M516" s="72"/>
      <c r="N516" s="51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26"/>
      <c r="K517" s="28"/>
      <c r="L517" s="72"/>
      <c r="M517" s="72"/>
      <c r="N517" s="51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26"/>
      <c r="K518" s="28"/>
      <c r="L518" s="72"/>
      <c r="M518" s="72"/>
      <c r="N518" s="51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26"/>
      <c r="K519" s="28"/>
      <c r="L519" s="72"/>
      <c r="M519" s="72"/>
      <c r="N519" s="51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26"/>
      <c r="K520" s="28"/>
      <c r="L520" s="72"/>
      <c r="M520" s="72"/>
      <c r="N520" s="51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26"/>
      <c r="K521" s="28"/>
      <c r="L521" s="72"/>
      <c r="M521" s="72"/>
      <c r="N521" s="51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26"/>
      <c r="K522" s="28"/>
      <c r="L522" s="72"/>
      <c r="M522" s="72"/>
      <c r="N522" s="51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26"/>
      <c r="K523" s="28"/>
      <c r="L523" s="72"/>
      <c r="M523" s="72"/>
      <c r="N523" s="51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26"/>
      <c r="K524" s="28"/>
      <c r="L524" s="72"/>
      <c r="M524" s="72"/>
      <c r="N524" s="51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26"/>
      <c r="K525" s="28"/>
      <c r="L525" s="72"/>
      <c r="M525" s="72"/>
      <c r="N525" s="51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26"/>
      <c r="K526" s="28"/>
      <c r="L526" s="72"/>
      <c r="M526" s="72"/>
      <c r="N526" s="51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26"/>
      <c r="K527" s="28"/>
      <c r="L527" s="72"/>
      <c r="M527" s="72"/>
      <c r="N527" s="51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26"/>
      <c r="K528" s="28"/>
      <c r="L528" s="72"/>
      <c r="M528" s="72"/>
      <c r="N528" s="51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26"/>
      <c r="K529" s="28"/>
      <c r="L529" s="72"/>
      <c r="M529" s="72"/>
      <c r="N529" s="51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26"/>
      <c r="K530" s="28"/>
      <c r="L530" s="72"/>
      <c r="M530" s="72"/>
      <c r="N530" s="51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26"/>
      <c r="K531" s="28"/>
      <c r="L531" s="72"/>
      <c r="M531" s="72"/>
      <c r="N531" s="51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26"/>
      <c r="K532" s="28"/>
      <c r="L532" s="72"/>
      <c r="M532" s="72"/>
      <c r="N532" s="51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26"/>
      <c r="K533" s="28"/>
      <c r="L533" s="72"/>
      <c r="M533" s="72"/>
      <c r="N533" s="51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26"/>
      <c r="K534" s="28"/>
      <c r="L534" s="72"/>
      <c r="M534" s="72"/>
      <c r="N534" s="51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26"/>
      <c r="K535" s="28"/>
      <c r="L535" s="72"/>
      <c r="M535" s="72"/>
      <c r="N535" s="51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26"/>
      <c r="K536" s="28"/>
      <c r="L536" s="72"/>
      <c r="M536" s="72"/>
      <c r="N536" s="51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26"/>
      <c r="K537" s="28"/>
      <c r="L537" s="72"/>
      <c r="M537" s="72"/>
      <c r="N537" s="51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26"/>
      <c r="K538" s="28"/>
      <c r="L538" s="72"/>
      <c r="M538" s="72"/>
      <c r="N538" s="51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26"/>
      <c r="K539" s="28"/>
      <c r="L539" s="72"/>
      <c r="M539" s="72"/>
      <c r="N539" s="51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26"/>
      <c r="K540" s="28"/>
      <c r="L540" s="72"/>
      <c r="M540" s="72"/>
      <c r="N540" s="51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26"/>
      <c r="K541" s="28"/>
      <c r="L541" s="72"/>
      <c r="M541" s="72"/>
      <c r="N541" s="51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26"/>
      <c r="K542" s="28"/>
      <c r="L542" s="72"/>
      <c r="M542" s="72"/>
      <c r="N542" s="51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26"/>
      <c r="K543" s="28"/>
      <c r="L543" s="72"/>
      <c r="M543" s="72"/>
      <c r="N543" s="51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26"/>
      <c r="K544" s="28"/>
      <c r="L544" s="72"/>
      <c r="M544" s="72"/>
      <c r="N544" s="51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26"/>
      <c r="K545" s="28"/>
      <c r="L545" s="72"/>
      <c r="M545" s="72"/>
      <c r="N545" s="51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26"/>
      <c r="K546" s="28"/>
      <c r="L546" s="72"/>
      <c r="M546" s="72"/>
      <c r="N546" s="51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26"/>
      <c r="K547" s="28"/>
      <c r="L547" s="72"/>
      <c r="M547" s="72"/>
      <c r="N547" s="51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26"/>
      <c r="K548" s="28"/>
      <c r="L548" s="72"/>
      <c r="M548" s="72"/>
      <c r="N548" s="51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26"/>
      <c r="K549" s="28"/>
      <c r="L549" s="72"/>
      <c r="M549" s="72"/>
      <c r="N549" s="51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26"/>
      <c r="K550" s="28"/>
      <c r="L550" s="72"/>
      <c r="M550" s="72"/>
      <c r="N550" s="51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26"/>
      <c r="K551" s="28"/>
      <c r="L551" s="72"/>
      <c r="M551" s="72"/>
      <c r="N551" s="51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26"/>
      <c r="K552" s="28"/>
      <c r="L552" s="72"/>
      <c r="M552" s="72"/>
      <c r="N552" s="51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26"/>
      <c r="K553" s="28"/>
      <c r="L553" s="72"/>
      <c r="M553" s="72"/>
      <c r="N553" s="51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26"/>
      <c r="K554" s="28"/>
      <c r="L554" s="72"/>
      <c r="M554" s="72"/>
      <c r="N554" s="51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26"/>
      <c r="K555" s="28"/>
      <c r="L555" s="72"/>
      <c r="M555" s="72"/>
      <c r="N555" s="51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26"/>
      <c r="K556" s="28"/>
      <c r="L556" s="72"/>
      <c r="M556" s="72"/>
      <c r="N556" s="51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26"/>
      <c r="K557" s="28"/>
      <c r="L557" s="72"/>
      <c r="M557" s="72"/>
      <c r="N557" s="51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26"/>
      <c r="K558" s="28"/>
      <c r="L558" s="72"/>
      <c r="M558" s="72"/>
      <c r="N558" s="51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26"/>
      <c r="K559" s="28"/>
      <c r="L559" s="72"/>
      <c r="M559" s="72"/>
      <c r="N559" s="51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26"/>
      <c r="K560" s="28"/>
      <c r="L560" s="72"/>
      <c r="M560" s="72"/>
      <c r="N560" s="51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26"/>
      <c r="K561" s="28"/>
      <c r="L561" s="72"/>
      <c r="M561" s="72"/>
      <c r="N561" s="51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26"/>
      <c r="K562" s="28"/>
      <c r="L562" s="72"/>
      <c r="M562" s="72"/>
      <c r="N562" s="51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26"/>
      <c r="K563" s="28"/>
      <c r="L563" s="72"/>
      <c r="M563" s="72"/>
      <c r="N563" s="51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26"/>
      <c r="K564" s="28"/>
      <c r="L564" s="72"/>
      <c r="M564" s="72"/>
      <c r="N564" s="51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26"/>
      <c r="K565" s="28"/>
      <c r="L565" s="72"/>
      <c r="M565" s="72"/>
      <c r="N565" s="51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26"/>
      <c r="K566" s="28"/>
      <c r="L566" s="72"/>
      <c r="M566" s="72"/>
      <c r="N566" s="51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26"/>
      <c r="K567" s="28"/>
      <c r="L567" s="72"/>
      <c r="M567" s="72"/>
      <c r="N567" s="51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26"/>
      <c r="K568" s="28"/>
      <c r="L568" s="72"/>
      <c r="M568" s="72"/>
      <c r="N568" s="51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26"/>
      <c r="K569" s="28"/>
      <c r="L569" s="72"/>
      <c r="M569" s="72"/>
      <c r="N569" s="51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26"/>
      <c r="K570" s="28"/>
      <c r="L570" s="72"/>
      <c r="M570" s="72"/>
      <c r="N570" s="51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26"/>
      <c r="K571" s="28"/>
      <c r="L571" s="72"/>
      <c r="M571" s="72"/>
      <c r="N571" s="51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26"/>
      <c r="K572" s="28"/>
      <c r="L572" s="72"/>
      <c r="M572" s="72"/>
      <c r="N572" s="51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26"/>
      <c r="K573" s="28"/>
      <c r="L573" s="72"/>
      <c r="M573" s="72"/>
      <c r="N573" s="51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26"/>
      <c r="K574" s="28"/>
      <c r="L574" s="72"/>
      <c r="M574" s="72"/>
      <c r="N574" s="51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26"/>
      <c r="K575" s="28"/>
      <c r="L575" s="72"/>
      <c r="M575" s="72"/>
      <c r="N575" s="51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26"/>
      <c r="K576" s="28"/>
      <c r="L576" s="72"/>
      <c r="M576" s="72"/>
      <c r="N576" s="51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26"/>
      <c r="K577" s="28"/>
      <c r="L577" s="72"/>
      <c r="M577" s="72"/>
      <c r="N577" s="51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26"/>
      <c r="K578" s="28"/>
      <c r="L578" s="72"/>
      <c r="M578" s="72"/>
      <c r="N578" s="51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26"/>
      <c r="K579" s="28"/>
      <c r="L579" s="72"/>
      <c r="M579" s="72"/>
      <c r="N579" s="51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26"/>
      <c r="K580" s="28"/>
      <c r="L580" s="72"/>
      <c r="M580" s="72"/>
      <c r="N580" s="51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26"/>
      <c r="K581" s="28"/>
      <c r="L581" s="72"/>
      <c r="M581" s="72"/>
      <c r="N581" s="51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26"/>
      <c r="K582" s="28"/>
      <c r="L582" s="72"/>
      <c r="M582" s="72"/>
      <c r="N582" s="51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26"/>
      <c r="K583" s="28"/>
      <c r="L583" s="72"/>
      <c r="M583" s="72"/>
      <c r="N583" s="51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26"/>
      <c r="K584" s="28"/>
      <c r="L584" s="72"/>
      <c r="M584" s="72"/>
      <c r="N584" s="51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26"/>
      <c r="K585" s="28"/>
      <c r="L585" s="72"/>
      <c r="M585" s="72"/>
      <c r="N585" s="51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26"/>
      <c r="K586" s="28"/>
      <c r="L586" s="72"/>
      <c r="M586" s="72"/>
      <c r="N586" s="51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26"/>
      <c r="K587" s="28"/>
      <c r="L587" s="72"/>
      <c r="M587" s="72"/>
      <c r="N587" s="51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26"/>
      <c r="K588" s="28"/>
      <c r="L588" s="72"/>
      <c r="M588" s="72"/>
      <c r="N588" s="51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26"/>
      <c r="K589" s="28"/>
      <c r="L589" s="72"/>
      <c r="M589" s="72"/>
      <c r="N589" s="51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26"/>
      <c r="K590" s="28"/>
      <c r="L590" s="72"/>
      <c r="M590" s="72"/>
      <c r="N590" s="51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26"/>
      <c r="K591" s="28"/>
      <c r="L591" s="72"/>
      <c r="M591" s="72"/>
      <c r="N591" s="51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26"/>
      <c r="K592" s="28"/>
      <c r="L592" s="72"/>
      <c r="M592" s="72"/>
      <c r="N592" s="51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26"/>
      <c r="K593" s="28"/>
      <c r="L593" s="72"/>
      <c r="M593" s="72"/>
      <c r="N593" s="51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26"/>
      <c r="K594" s="28"/>
      <c r="L594" s="72"/>
      <c r="M594" s="72"/>
      <c r="N594" s="51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26"/>
      <c r="K595" s="28"/>
      <c r="L595" s="72"/>
      <c r="M595" s="72"/>
      <c r="N595" s="51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26"/>
      <c r="K596" s="28"/>
      <c r="L596" s="72"/>
      <c r="M596" s="72"/>
      <c r="N596" s="51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26"/>
      <c r="K597" s="28"/>
      <c r="L597" s="72"/>
      <c r="M597" s="72"/>
      <c r="N597" s="51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26"/>
      <c r="K598" s="28"/>
      <c r="L598" s="72"/>
      <c r="M598" s="72"/>
      <c r="N598" s="51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26"/>
      <c r="K599" s="28"/>
      <c r="L599" s="72"/>
      <c r="M599" s="72"/>
      <c r="N599" s="51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26"/>
      <c r="K600" s="28"/>
      <c r="L600" s="72"/>
      <c r="M600" s="72"/>
      <c r="N600" s="51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26"/>
      <c r="K601" s="28"/>
      <c r="L601" s="72"/>
      <c r="M601" s="72"/>
      <c r="N601" s="51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26"/>
      <c r="K602" s="28"/>
      <c r="L602" s="72"/>
      <c r="M602" s="72"/>
      <c r="N602" s="51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26"/>
      <c r="K603" s="28"/>
      <c r="L603" s="72"/>
      <c r="M603" s="72"/>
      <c r="N603" s="51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26"/>
      <c r="K604" s="28"/>
      <c r="L604" s="72"/>
      <c r="M604" s="72"/>
      <c r="N604" s="51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26"/>
      <c r="K605" s="28"/>
      <c r="L605" s="72"/>
      <c r="M605" s="72"/>
      <c r="N605" s="51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26"/>
      <c r="K606" s="28"/>
      <c r="L606" s="72"/>
      <c r="M606" s="72"/>
      <c r="N606" s="51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26"/>
      <c r="K607" s="28"/>
      <c r="L607" s="72"/>
      <c r="M607" s="72"/>
      <c r="N607" s="51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26"/>
      <c r="K608" s="28"/>
      <c r="L608" s="72"/>
      <c r="M608" s="72"/>
      <c r="N608" s="51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26"/>
      <c r="K609" s="28"/>
      <c r="L609" s="72"/>
      <c r="M609" s="72"/>
      <c r="N609" s="51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26"/>
      <c r="K610" s="28"/>
      <c r="L610" s="72"/>
      <c r="M610" s="72"/>
      <c r="N610" s="51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26"/>
      <c r="K611" s="28"/>
      <c r="L611" s="72"/>
      <c r="M611" s="72"/>
      <c r="N611" s="51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26"/>
      <c r="K612" s="28"/>
      <c r="L612" s="72"/>
      <c r="M612" s="72"/>
      <c r="N612" s="51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26"/>
      <c r="K613" s="28"/>
      <c r="L613" s="72"/>
      <c r="M613" s="72"/>
      <c r="N613" s="51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26"/>
      <c r="K614" s="28"/>
      <c r="L614" s="72"/>
      <c r="M614" s="72"/>
      <c r="N614" s="51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26"/>
      <c r="K615" s="28"/>
      <c r="L615" s="72"/>
      <c r="M615" s="72"/>
      <c r="N615" s="51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26"/>
      <c r="K616" s="28"/>
      <c r="L616" s="72"/>
      <c r="M616" s="72"/>
      <c r="N616" s="51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26"/>
      <c r="K617" s="28"/>
      <c r="L617" s="72"/>
      <c r="M617" s="72"/>
      <c r="N617" s="51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26"/>
      <c r="K618" s="28"/>
      <c r="L618" s="72"/>
      <c r="M618" s="72"/>
      <c r="N618" s="51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26"/>
      <c r="K619" s="28"/>
      <c r="L619" s="72"/>
      <c r="M619" s="72"/>
      <c r="N619" s="51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26"/>
      <c r="K620" s="28"/>
      <c r="L620" s="72"/>
      <c r="M620" s="72"/>
      <c r="N620" s="51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26"/>
      <c r="K621" s="28"/>
      <c r="L621" s="72"/>
      <c r="M621" s="72"/>
      <c r="N621" s="51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26"/>
      <c r="K622" s="28"/>
      <c r="L622" s="72"/>
      <c r="M622" s="72"/>
      <c r="N622" s="51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26"/>
      <c r="K623" s="28"/>
      <c r="L623" s="72"/>
      <c r="M623" s="72"/>
      <c r="N623" s="51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26"/>
      <c r="K624" s="28"/>
      <c r="L624" s="72"/>
      <c r="M624" s="72"/>
      <c r="N624" s="51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26"/>
      <c r="K625" s="28"/>
      <c r="L625" s="72"/>
      <c r="M625" s="72"/>
      <c r="N625" s="51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26"/>
      <c r="K626" s="28"/>
      <c r="L626" s="72"/>
      <c r="M626" s="72"/>
      <c r="N626" s="51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26"/>
      <c r="K627" s="28"/>
      <c r="L627" s="72"/>
      <c r="M627" s="72"/>
      <c r="N627" s="51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26"/>
      <c r="K628" s="28"/>
      <c r="L628" s="72"/>
      <c r="M628" s="72"/>
      <c r="N628" s="51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26"/>
      <c r="K629" s="28"/>
      <c r="L629" s="72"/>
      <c r="M629" s="72"/>
      <c r="N629" s="51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26"/>
      <c r="K630" s="28"/>
      <c r="L630" s="72"/>
      <c r="M630" s="72"/>
      <c r="N630" s="51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26"/>
      <c r="K631" s="28"/>
      <c r="L631" s="72"/>
      <c r="M631" s="72"/>
      <c r="N631" s="51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26"/>
      <c r="K632" s="28"/>
      <c r="L632" s="72"/>
      <c r="M632" s="72"/>
      <c r="N632" s="51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26"/>
      <c r="K633" s="28"/>
      <c r="L633" s="72"/>
      <c r="M633" s="72"/>
      <c r="N633" s="51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26"/>
      <c r="K634" s="28"/>
      <c r="L634" s="72"/>
      <c r="M634" s="72"/>
      <c r="N634" s="51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26"/>
      <c r="K635" s="28"/>
      <c r="L635" s="72"/>
      <c r="M635" s="72"/>
      <c r="N635" s="51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26"/>
      <c r="K636" s="28"/>
      <c r="L636" s="72"/>
      <c r="M636" s="72"/>
      <c r="N636" s="51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26"/>
      <c r="K637" s="28"/>
      <c r="L637" s="72"/>
      <c r="M637" s="72"/>
      <c r="N637" s="51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26"/>
      <c r="K638" s="28"/>
      <c r="L638" s="72"/>
      <c r="M638" s="72"/>
      <c r="N638" s="51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26"/>
      <c r="K639" s="28"/>
      <c r="L639" s="72"/>
      <c r="M639" s="72"/>
      <c r="N639" s="51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26"/>
      <c r="K640" s="28"/>
      <c r="L640" s="72"/>
      <c r="M640" s="72"/>
      <c r="N640" s="51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26"/>
      <c r="K641" s="28"/>
      <c r="L641" s="72"/>
      <c r="M641" s="72"/>
      <c r="N641" s="51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26"/>
      <c r="K642" s="28"/>
      <c r="L642" s="72"/>
      <c r="M642" s="72"/>
      <c r="N642" s="51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26"/>
      <c r="K643" s="28"/>
      <c r="L643" s="72"/>
      <c r="M643" s="72"/>
      <c r="N643" s="51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26"/>
      <c r="K644" s="28"/>
      <c r="L644" s="72"/>
      <c r="M644" s="72"/>
      <c r="N644" s="51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26"/>
      <c r="K645" s="28"/>
      <c r="L645" s="72"/>
      <c r="M645" s="72"/>
      <c r="N645" s="51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26"/>
      <c r="K646" s="28"/>
      <c r="L646" s="72"/>
      <c r="M646" s="72"/>
      <c r="N646" s="51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26"/>
      <c r="K647" s="28"/>
      <c r="L647" s="72"/>
      <c r="M647" s="72"/>
      <c r="N647" s="51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26"/>
      <c r="K648" s="28"/>
      <c r="L648" s="72"/>
      <c r="M648" s="72"/>
      <c r="N648" s="51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26"/>
      <c r="K649" s="28"/>
      <c r="L649" s="72"/>
      <c r="M649" s="72"/>
      <c r="N649" s="51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26"/>
      <c r="K650" s="28"/>
      <c r="L650" s="72"/>
      <c r="M650" s="72"/>
      <c r="N650" s="51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26"/>
      <c r="K651" s="28"/>
      <c r="L651" s="72"/>
      <c r="M651" s="72"/>
      <c r="N651" s="51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26"/>
      <c r="K652" s="28"/>
      <c r="L652" s="72"/>
      <c r="M652" s="72"/>
      <c r="N652" s="51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26"/>
      <c r="K653" s="28"/>
      <c r="L653" s="72"/>
      <c r="M653" s="72"/>
      <c r="N653" s="51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26"/>
      <c r="K654" s="28"/>
      <c r="L654" s="72"/>
      <c r="M654" s="72"/>
      <c r="N654" s="51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26"/>
      <c r="K655" s="28"/>
      <c r="L655" s="72"/>
      <c r="M655" s="72"/>
      <c r="N655" s="51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26"/>
      <c r="K656" s="28"/>
      <c r="L656" s="72"/>
      <c r="M656" s="72"/>
      <c r="N656" s="51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26"/>
      <c r="K657" s="28"/>
      <c r="L657" s="72"/>
      <c r="M657" s="72"/>
      <c r="N657" s="51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26"/>
      <c r="K658" s="28"/>
      <c r="L658" s="72"/>
      <c r="M658" s="72"/>
      <c r="N658" s="51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26"/>
      <c r="K659" s="28"/>
      <c r="L659" s="72"/>
      <c r="M659" s="72"/>
      <c r="N659" s="51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26"/>
      <c r="K660" s="28"/>
      <c r="L660" s="72"/>
      <c r="M660" s="72"/>
      <c r="N660" s="51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26"/>
      <c r="K661" s="28"/>
      <c r="L661" s="72"/>
      <c r="M661" s="72"/>
      <c r="N661" s="51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26"/>
      <c r="K662" s="28"/>
      <c r="L662" s="72"/>
      <c r="M662" s="72"/>
      <c r="N662" s="51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26"/>
      <c r="K663" s="28"/>
      <c r="L663" s="72"/>
      <c r="M663" s="72"/>
      <c r="N663" s="51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26"/>
      <c r="K664" s="28"/>
      <c r="L664" s="72"/>
      <c r="M664" s="72"/>
      <c r="N664" s="51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26"/>
      <c r="K665" s="28"/>
      <c r="L665" s="72"/>
      <c r="M665" s="72"/>
      <c r="N665" s="51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26"/>
      <c r="K666" s="28"/>
      <c r="L666" s="72"/>
      <c r="M666" s="72"/>
      <c r="N666" s="51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26"/>
      <c r="K667" s="28"/>
      <c r="L667" s="72"/>
      <c r="M667" s="72"/>
      <c r="N667" s="51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26"/>
      <c r="K668" s="28"/>
      <c r="L668" s="72"/>
      <c r="M668" s="72"/>
      <c r="N668" s="51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26"/>
      <c r="K669" s="28"/>
      <c r="L669" s="72"/>
      <c r="M669" s="72"/>
      <c r="N669" s="51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26"/>
      <c r="K670" s="28"/>
      <c r="L670" s="72"/>
      <c r="M670" s="72"/>
      <c r="N670" s="51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26"/>
      <c r="K671" s="28"/>
      <c r="L671" s="72"/>
      <c r="M671" s="72"/>
      <c r="N671" s="51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26"/>
      <c r="K672" s="28"/>
      <c r="L672" s="72"/>
      <c r="M672" s="72"/>
      <c r="N672" s="51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26"/>
      <c r="K673" s="28"/>
      <c r="L673" s="72"/>
      <c r="M673" s="72"/>
      <c r="N673" s="51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26"/>
      <c r="K674" s="28"/>
      <c r="L674" s="72"/>
      <c r="M674" s="72"/>
      <c r="N674" s="51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26"/>
      <c r="K675" s="28"/>
      <c r="L675" s="72"/>
      <c r="M675" s="72"/>
      <c r="N675" s="51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26"/>
      <c r="K676" s="28"/>
      <c r="L676" s="72"/>
      <c r="M676" s="72"/>
      <c r="N676" s="51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26"/>
      <c r="K677" s="28"/>
      <c r="L677" s="72"/>
      <c r="M677" s="72"/>
      <c r="N677" s="51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26"/>
      <c r="K678" s="28"/>
      <c r="L678" s="72"/>
      <c r="M678" s="72"/>
      <c r="N678" s="51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26"/>
      <c r="K679" s="28"/>
      <c r="L679" s="72"/>
      <c r="M679" s="72"/>
      <c r="N679" s="51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26"/>
      <c r="K680" s="28"/>
      <c r="L680" s="72"/>
      <c r="M680" s="72"/>
      <c r="N680" s="51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26"/>
      <c r="K681" s="28"/>
      <c r="L681" s="72"/>
      <c r="M681" s="72"/>
      <c r="N681" s="51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26"/>
      <c r="K682" s="28"/>
      <c r="L682" s="72"/>
      <c r="M682" s="72"/>
      <c r="N682" s="51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26"/>
      <c r="K683" s="28"/>
      <c r="L683" s="72"/>
      <c r="M683" s="72"/>
      <c r="N683" s="51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26"/>
      <c r="K684" s="28"/>
      <c r="L684" s="72"/>
      <c r="M684" s="72"/>
      <c r="N684" s="51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26"/>
      <c r="K685" s="28"/>
      <c r="L685" s="72"/>
      <c r="M685" s="72"/>
      <c r="N685" s="51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26"/>
      <c r="K686" s="28"/>
      <c r="L686" s="72"/>
      <c r="M686" s="72"/>
      <c r="N686" s="51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26"/>
      <c r="K687" s="28"/>
      <c r="L687" s="72"/>
      <c r="M687" s="72"/>
      <c r="N687" s="51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26"/>
      <c r="K688" s="28"/>
      <c r="L688" s="72"/>
      <c r="M688" s="72"/>
      <c r="N688" s="51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26"/>
      <c r="K689" s="28"/>
      <c r="L689" s="72"/>
      <c r="M689" s="72"/>
      <c r="N689" s="51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26"/>
      <c r="K690" s="28"/>
      <c r="L690" s="72"/>
      <c r="M690" s="72"/>
      <c r="N690" s="51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26"/>
      <c r="K691" s="28"/>
      <c r="L691" s="72"/>
      <c r="M691" s="72"/>
      <c r="N691" s="51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26"/>
      <c r="K692" s="28"/>
      <c r="L692" s="72"/>
      <c r="M692" s="72"/>
      <c r="N692" s="51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26"/>
      <c r="K693" s="28"/>
      <c r="L693" s="72"/>
      <c r="M693" s="72"/>
      <c r="N693" s="51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26"/>
      <c r="K694" s="28"/>
      <c r="L694" s="72"/>
      <c r="M694" s="72"/>
      <c r="N694" s="51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26"/>
      <c r="K695" s="28"/>
      <c r="L695" s="72"/>
      <c r="M695" s="72"/>
      <c r="N695" s="51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26"/>
      <c r="K696" s="28"/>
      <c r="L696" s="72"/>
      <c r="M696" s="72"/>
      <c r="N696" s="51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26"/>
      <c r="K697" s="28"/>
      <c r="L697" s="72"/>
      <c r="M697" s="72"/>
      <c r="N697" s="51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26"/>
      <c r="K698" s="28"/>
      <c r="L698" s="72"/>
      <c r="M698" s="72"/>
      <c r="N698" s="51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26"/>
      <c r="K699" s="28"/>
      <c r="L699" s="72"/>
      <c r="M699" s="72"/>
      <c r="N699" s="51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26"/>
      <c r="K700" s="28"/>
      <c r="L700" s="72"/>
      <c r="M700" s="72"/>
      <c r="N700" s="51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26"/>
      <c r="K701" s="28"/>
      <c r="L701" s="72"/>
      <c r="M701" s="72"/>
      <c r="N701" s="51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26"/>
      <c r="K702" s="28"/>
      <c r="L702" s="72"/>
      <c r="M702" s="72"/>
      <c r="N702" s="51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26"/>
      <c r="K703" s="28"/>
      <c r="L703" s="72"/>
      <c r="M703" s="72"/>
      <c r="N703" s="51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26"/>
      <c r="K704" s="28"/>
      <c r="L704" s="72"/>
      <c r="M704" s="72"/>
      <c r="N704" s="51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26"/>
      <c r="K705" s="28"/>
      <c r="L705" s="72"/>
      <c r="M705" s="72"/>
      <c r="N705" s="51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26"/>
      <c r="K706" s="28"/>
      <c r="L706" s="72"/>
      <c r="M706" s="72"/>
      <c r="N706" s="51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26"/>
      <c r="K707" s="28"/>
      <c r="L707" s="72"/>
      <c r="M707" s="72"/>
      <c r="N707" s="51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26"/>
      <c r="K708" s="28"/>
      <c r="L708" s="72"/>
      <c r="M708" s="72"/>
      <c r="N708" s="51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26"/>
      <c r="K709" s="28"/>
      <c r="L709" s="72"/>
      <c r="M709" s="72"/>
      <c r="N709" s="51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26"/>
      <c r="K710" s="28"/>
      <c r="L710" s="72"/>
      <c r="M710" s="72"/>
      <c r="N710" s="51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26"/>
      <c r="K711" s="28"/>
      <c r="L711" s="72"/>
      <c r="M711" s="72"/>
      <c r="N711" s="51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26"/>
      <c r="K712" s="28"/>
      <c r="L712" s="72"/>
      <c r="M712" s="72"/>
      <c r="N712" s="51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26"/>
      <c r="K713" s="28"/>
      <c r="L713" s="72"/>
      <c r="M713" s="72"/>
      <c r="N713" s="51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26"/>
      <c r="K714" s="28"/>
      <c r="L714" s="72"/>
      <c r="M714" s="72"/>
      <c r="N714" s="51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26"/>
      <c r="K715" s="28"/>
      <c r="L715" s="72"/>
      <c r="M715" s="72"/>
      <c r="N715" s="51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26"/>
      <c r="K716" s="28"/>
      <c r="L716" s="72"/>
      <c r="M716" s="72"/>
      <c r="N716" s="51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26"/>
      <c r="K717" s="28"/>
      <c r="L717" s="72"/>
      <c r="M717" s="72"/>
      <c r="N717" s="51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26"/>
      <c r="K718" s="28"/>
      <c r="L718" s="72"/>
      <c r="M718" s="72"/>
      <c r="N718" s="51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26"/>
      <c r="K719" s="28"/>
      <c r="L719" s="72"/>
      <c r="M719" s="72"/>
      <c r="N719" s="51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26"/>
      <c r="K720" s="28"/>
      <c r="L720" s="72"/>
      <c r="M720" s="72"/>
      <c r="N720" s="51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26"/>
      <c r="K721" s="28"/>
      <c r="L721" s="72"/>
      <c r="M721" s="72"/>
      <c r="N721" s="51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26"/>
      <c r="K722" s="28"/>
      <c r="L722" s="72"/>
      <c r="M722" s="72"/>
      <c r="N722" s="51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26"/>
      <c r="K723" s="28"/>
      <c r="L723" s="72"/>
      <c r="M723" s="72"/>
      <c r="N723" s="51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26"/>
      <c r="K724" s="28"/>
      <c r="L724" s="72"/>
      <c r="M724" s="72"/>
      <c r="N724" s="51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26"/>
      <c r="K725" s="28"/>
      <c r="L725" s="72"/>
      <c r="M725" s="72"/>
      <c r="N725" s="51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26"/>
      <c r="K726" s="28"/>
      <c r="L726" s="72"/>
      <c r="M726" s="72"/>
      <c r="N726" s="51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26"/>
      <c r="K727" s="28"/>
      <c r="L727" s="72"/>
      <c r="M727" s="72"/>
      <c r="N727" s="51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26"/>
      <c r="K728" s="28"/>
      <c r="L728" s="72"/>
      <c r="M728" s="72"/>
      <c r="N728" s="51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26"/>
      <c r="K729" s="28"/>
      <c r="L729" s="72"/>
      <c r="M729" s="72"/>
      <c r="N729" s="51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26"/>
      <c r="K730" s="28"/>
      <c r="L730" s="72"/>
      <c r="M730" s="72"/>
      <c r="N730" s="51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26"/>
      <c r="K731" s="28"/>
      <c r="L731" s="72"/>
      <c r="M731" s="72"/>
      <c r="N731" s="51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26"/>
      <c r="K732" s="28"/>
      <c r="L732" s="72"/>
      <c r="M732" s="72"/>
      <c r="N732" s="51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26"/>
      <c r="K733" s="28"/>
      <c r="L733" s="72"/>
      <c r="M733" s="72"/>
      <c r="N733" s="51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26"/>
      <c r="K734" s="28"/>
      <c r="L734" s="72"/>
      <c r="M734" s="72"/>
      <c r="N734" s="51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26"/>
      <c r="K735" s="28"/>
      <c r="L735" s="72"/>
      <c r="M735" s="72"/>
      <c r="N735" s="51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26"/>
      <c r="K736" s="28"/>
      <c r="L736" s="72"/>
      <c r="M736" s="72"/>
      <c r="N736" s="51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26"/>
      <c r="K737" s="28"/>
      <c r="L737" s="72"/>
      <c r="M737" s="72"/>
      <c r="N737" s="51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26"/>
      <c r="K738" s="28"/>
      <c r="L738" s="72"/>
      <c r="M738" s="72"/>
      <c r="N738" s="51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26"/>
      <c r="K739" s="28"/>
      <c r="L739" s="72"/>
      <c r="M739" s="72"/>
      <c r="N739" s="51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26"/>
      <c r="K740" s="28"/>
      <c r="L740" s="72"/>
      <c r="M740" s="72"/>
      <c r="N740" s="51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26"/>
      <c r="K741" s="28"/>
      <c r="L741" s="72"/>
      <c r="M741" s="72"/>
      <c r="N741" s="51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26"/>
      <c r="K742" s="28"/>
      <c r="L742" s="72"/>
      <c r="M742" s="72"/>
      <c r="N742" s="51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26"/>
      <c r="K743" s="28"/>
      <c r="L743" s="72"/>
      <c r="M743" s="72"/>
      <c r="N743" s="51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26"/>
      <c r="K744" s="28"/>
      <c r="L744" s="72"/>
      <c r="M744" s="72"/>
      <c r="N744" s="51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26"/>
      <c r="K745" s="28"/>
      <c r="L745" s="72"/>
      <c r="M745" s="72"/>
      <c r="N745" s="51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26"/>
      <c r="K746" s="28"/>
      <c r="L746" s="72"/>
      <c r="M746" s="72"/>
      <c r="N746" s="51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26"/>
      <c r="K747" s="28"/>
      <c r="L747" s="72"/>
      <c r="M747" s="72"/>
      <c r="N747" s="51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26"/>
      <c r="K748" s="28"/>
      <c r="L748" s="72"/>
      <c r="M748" s="72"/>
      <c r="N748" s="51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26"/>
      <c r="K749" s="28"/>
      <c r="L749" s="72"/>
      <c r="M749" s="72"/>
      <c r="N749" s="51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26"/>
      <c r="K750" s="28"/>
      <c r="L750" s="72"/>
      <c r="M750" s="72"/>
      <c r="N750" s="51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26"/>
      <c r="K751" s="28"/>
      <c r="L751" s="72"/>
      <c r="M751" s="72"/>
      <c r="N751" s="51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26"/>
      <c r="K752" s="28"/>
      <c r="L752" s="72"/>
      <c r="M752" s="72"/>
      <c r="N752" s="51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26"/>
      <c r="K753" s="28"/>
      <c r="L753" s="72"/>
      <c r="M753" s="72"/>
      <c r="N753" s="51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26"/>
      <c r="K754" s="28"/>
      <c r="L754" s="72"/>
      <c r="M754" s="72"/>
      <c r="N754" s="51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26"/>
      <c r="K755" s="28"/>
      <c r="L755" s="72"/>
      <c r="M755" s="72"/>
      <c r="N755" s="51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26"/>
      <c r="K756" s="28"/>
      <c r="L756" s="72"/>
      <c r="M756" s="72"/>
      <c r="N756" s="51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26"/>
      <c r="K757" s="28"/>
      <c r="L757" s="72"/>
      <c r="M757" s="72"/>
      <c r="N757" s="51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26"/>
      <c r="K758" s="28"/>
      <c r="L758" s="72"/>
      <c r="M758" s="72"/>
      <c r="N758" s="51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26"/>
      <c r="K759" s="28"/>
      <c r="L759" s="72"/>
      <c r="M759" s="72"/>
      <c r="N759" s="51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26"/>
      <c r="K760" s="28"/>
      <c r="L760" s="72"/>
      <c r="M760" s="72"/>
      <c r="N760" s="51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26"/>
      <c r="K761" s="28"/>
      <c r="L761" s="72"/>
      <c r="M761" s="72"/>
      <c r="N761" s="51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26"/>
      <c r="K762" s="28"/>
      <c r="L762" s="72"/>
      <c r="M762" s="72"/>
      <c r="N762" s="51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26"/>
      <c r="K763" s="28"/>
      <c r="L763" s="72"/>
      <c r="M763" s="72"/>
      <c r="N763" s="51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26"/>
      <c r="K764" s="28"/>
      <c r="L764" s="72"/>
      <c r="M764" s="72"/>
      <c r="N764" s="51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26"/>
      <c r="K765" s="28"/>
      <c r="L765" s="72"/>
      <c r="M765" s="72"/>
      <c r="N765" s="51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26"/>
      <c r="K766" s="28"/>
      <c r="L766" s="72"/>
      <c r="M766" s="72"/>
      <c r="N766" s="51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26"/>
      <c r="K767" s="28"/>
      <c r="L767" s="72"/>
      <c r="M767" s="72"/>
      <c r="N767" s="51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26"/>
      <c r="K768" s="28"/>
      <c r="L768" s="72"/>
      <c r="M768" s="72"/>
      <c r="N768" s="51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26"/>
      <c r="K769" s="28"/>
      <c r="L769" s="72"/>
      <c r="M769" s="72"/>
      <c r="N769" s="51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26"/>
      <c r="K770" s="28"/>
      <c r="L770" s="72"/>
      <c r="M770" s="72"/>
      <c r="N770" s="51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26"/>
      <c r="K771" s="28"/>
      <c r="L771" s="72"/>
      <c r="M771" s="72"/>
      <c r="N771" s="51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26"/>
      <c r="K772" s="28"/>
      <c r="L772" s="72"/>
      <c r="M772" s="72"/>
      <c r="N772" s="51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26"/>
      <c r="K773" s="28"/>
      <c r="L773" s="72"/>
      <c r="M773" s="72"/>
      <c r="N773" s="51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26"/>
      <c r="K774" s="28"/>
      <c r="L774" s="72"/>
      <c r="M774" s="72"/>
      <c r="N774" s="51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26"/>
      <c r="K775" s="28"/>
      <c r="L775" s="72"/>
      <c r="M775" s="72"/>
      <c r="N775" s="51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26"/>
      <c r="K776" s="28"/>
      <c r="L776" s="72"/>
      <c r="M776" s="72"/>
      <c r="N776" s="51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26"/>
      <c r="K777" s="28"/>
      <c r="L777" s="72"/>
      <c r="M777" s="72"/>
      <c r="N777" s="51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26"/>
      <c r="K778" s="28"/>
      <c r="L778" s="72"/>
      <c r="M778" s="72"/>
      <c r="N778" s="51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26"/>
      <c r="K779" s="28"/>
      <c r="L779" s="72"/>
      <c r="M779" s="72"/>
      <c r="N779" s="51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26"/>
      <c r="K780" s="28"/>
      <c r="L780" s="72"/>
      <c r="M780" s="72"/>
      <c r="N780" s="51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26"/>
      <c r="K781" s="28"/>
      <c r="L781" s="72"/>
      <c r="M781" s="72"/>
      <c r="N781" s="51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26"/>
      <c r="K782" s="28"/>
      <c r="L782" s="72"/>
      <c r="M782" s="72"/>
      <c r="N782" s="51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26"/>
      <c r="K783" s="28"/>
      <c r="L783" s="72"/>
      <c r="M783" s="72"/>
      <c r="N783" s="51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26"/>
      <c r="K784" s="28"/>
      <c r="L784" s="72"/>
      <c r="M784" s="72"/>
      <c r="N784" s="51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26"/>
      <c r="K785" s="28"/>
      <c r="L785" s="72"/>
      <c r="M785" s="72"/>
      <c r="N785" s="51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26"/>
      <c r="K786" s="28"/>
      <c r="L786" s="72"/>
      <c r="M786" s="72"/>
      <c r="N786" s="51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26"/>
      <c r="K787" s="28"/>
      <c r="L787" s="72"/>
      <c r="M787" s="72"/>
      <c r="N787" s="51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26"/>
      <c r="K788" s="28"/>
      <c r="L788" s="72"/>
      <c r="M788" s="72"/>
      <c r="N788" s="51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26"/>
      <c r="K789" s="28"/>
      <c r="L789" s="72"/>
      <c r="M789" s="72"/>
      <c r="N789" s="51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26"/>
      <c r="K790" s="28"/>
      <c r="L790" s="72"/>
      <c r="M790" s="72"/>
      <c r="N790" s="51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26"/>
      <c r="K791" s="28"/>
      <c r="L791" s="72"/>
      <c r="M791" s="72"/>
      <c r="N791" s="51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26"/>
      <c r="K792" s="28"/>
      <c r="L792" s="72"/>
      <c r="M792" s="72"/>
      <c r="N792" s="51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26"/>
      <c r="K793" s="28"/>
      <c r="L793" s="72"/>
      <c r="M793" s="72"/>
      <c r="N793" s="51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26"/>
      <c r="K794" s="28"/>
      <c r="L794" s="72"/>
      <c r="M794" s="72"/>
      <c r="N794" s="51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26"/>
      <c r="K795" s="28"/>
      <c r="L795" s="72"/>
      <c r="M795" s="72"/>
      <c r="N795" s="51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26"/>
      <c r="K796" s="28"/>
      <c r="L796" s="72"/>
      <c r="M796" s="72"/>
      <c r="N796" s="51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26"/>
      <c r="K797" s="28"/>
      <c r="L797" s="72"/>
      <c r="M797" s="72"/>
      <c r="N797" s="51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26"/>
      <c r="K798" s="28"/>
      <c r="L798" s="72"/>
      <c r="M798" s="72"/>
      <c r="N798" s="51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26"/>
      <c r="K799" s="28"/>
      <c r="L799" s="72"/>
      <c r="M799" s="72"/>
      <c r="N799" s="51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26"/>
      <c r="K800" s="28"/>
      <c r="L800" s="72"/>
      <c r="M800" s="72"/>
      <c r="N800" s="51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26"/>
      <c r="K801" s="28"/>
      <c r="L801" s="72"/>
      <c r="M801" s="72"/>
      <c r="N801" s="51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26"/>
      <c r="K802" s="28"/>
      <c r="L802" s="72"/>
      <c r="M802" s="72"/>
      <c r="N802" s="51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26"/>
      <c r="K803" s="28"/>
      <c r="L803" s="72"/>
      <c r="M803" s="72"/>
      <c r="N803" s="51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26"/>
      <c r="K804" s="28"/>
      <c r="L804" s="72"/>
      <c r="M804" s="72"/>
      <c r="N804" s="51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26"/>
      <c r="K805" s="28"/>
      <c r="L805" s="72"/>
      <c r="M805" s="72"/>
      <c r="N805" s="51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26"/>
      <c r="K806" s="28"/>
      <c r="L806" s="72"/>
      <c r="M806" s="72"/>
      <c r="N806" s="51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26"/>
      <c r="K807" s="28"/>
      <c r="L807" s="72"/>
      <c r="M807" s="72"/>
      <c r="N807" s="51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26"/>
      <c r="K808" s="28"/>
      <c r="L808" s="72"/>
      <c r="M808" s="72"/>
      <c r="N808" s="51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26"/>
      <c r="K809" s="28"/>
      <c r="L809" s="72"/>
      <c r="M809" s="72"/>
      <c r="N809" s="51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26"/>
      <c r="K810" s="28"/>
      <c r="L810" s="72"/>
      <c r="M810" s="72"/>
      <c r="N810" s="51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26"/>
      <c r="K811" s="28"/>
      <c r="L811" s="72"/>
      <c r="M811" s="72"/>
      <c r="N811" s="51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26"/>
      <c r="K812" s="28"/>
      <c r="L812" s="72"/>
      <c r="M812" s="72"/>
      <c r="N812" s="51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26"/>
      <c r="K813" s="28"/>
      <c r="L813" s="72"/>
      <c r="M813" s="72"/>
      <c r="N813" s="51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26"/>
      <c r="K814" s="28"/>
      <c r="L814" s="72"/>
      <c r="M814" s="72"/>
      <c r="N814" s="51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26"/>
      <c r="K815" s="28"/>
      <c r="L815" s="72"/>
      <c r="M815" s="72"/>
      <c r="N815" s="51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26"/>
      <c r="K816" s="28"/>
      <c r="L816" s="72"/>
      <c r="M816" s="72"/>
      <c r="N816" s="51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26"/>
      <c r="K817" s="28"/>
      <c r="L817" s="72"/>
      <c r="M817" s="72"/>
      <c r="N817" s="51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26"/>
      <c r="K818" s="28"/>
      <c r="L818" s="72"/>
      <c r="M818" s="72"/>
      <c r="N818" s="51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26"/>
      <c r="K819" s="28"/>
      <c r="L819" s="72"/>
      <c r="M819" s="72"/>
      <c r="N819" s="51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26"/>
      <c r="K820" s="28"/>
      <c r="L820" s="72"/>
      <c r="M820" s="72"/>
      <c r="N820" s="51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26"/>
      <c r="K821" s="28"/>
      <c r="L821" s="72"/>
      <c r="M821" s="72"/>
      <c r="N821" s="51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26"/>
      <c r="K822" s="28"/>
      <c r="L822" s="72"/>
      <c r="M822" s="72"/>
      <c r="N822" s="51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26"/>
      <c r="K823" s="28"/>
      <c r="L823" s="72"/>
      <c r="M823" s="72"/>
      <c r="N823" s="51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26"/>
      <c r="K824" s="28"/>
      <c r="L824" s="72"/>
      <c r="M824" s="72"/>
      <c r="N824" s="51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26"/>
      <c r="K825" s="28"/>
      <c r="L825" s="72"/>
      <c r="M825" s="72"/>
      <c r="N825" s="51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26"/>
      <c r="K826" s="28"/>
      <c r="L826" s="72"/>
      <c r="M826" s="72"/>
      <c r="N826" s="51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26"/>
      <c r="K827" s="28"/>
      <c r="L827" s="72"/>
      <c r="M827" s="72"/>
      <c r="N827" s="51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26"/>
      <c r="K828" s="28"/>
      <c r="L828" s="72"/>
      <c r="M828" s="72"/>
      <c r="N828" s="51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26"/>
      <c r="K829" s="28"/>
      <c r="L829" s="72"/>
      <c r="M829" s="72"/>
      <c r="N829" s="51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26"/>
      <c r="K830" s="28"/>
      <c r="L830" s="72"/>
      <c r="M830" s="72"/>
      <c r="N830" s="51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26"/>
      <c r="K831" s="28"/>
      <c r="L831" s="72"/>
      <c r="M831" s="72"/>
      <c r="N831" s="51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26"/>
      <c r="K832" s="28"/>
      <c r="L832" s="72"/>
      <c r="M832" s="72"/>
      <c r="N832" s="51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26"/>
      <c r="K833" s="28"/>
      <c r="L833" s="72"/>
      <c r="M833" s="72"/>
      <c r="N833" s="51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26"/>
      <c r="K834" s="28"/>
      <c r="L834" s="72"/>
      <c r="M834" s="72"/>
      <c r="N834" s="51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26"/>
      <c r="K835" s="28"/>
      <c r="L835" s="72"/>
      <c r="M835" s="72"/>
      <c r="N835" s="51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26"/>
      <c r="K836" s="28"/>
      <c r="L836" s="72"/>
      <c r="M836" s="72"/>
      <c r="N836" s="51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26"/>
      <c r="K837" s="28"/>
      <c r="L837" s="72"/>
      <c r="M837" s="72"/>
      <c r="N837" s="51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26"/>
      <c r="K838" s="28"/>
      <c r="L838" s="72"/>
      <c r="M838" s="72"/>
      <c r="N838" s="51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26"/>
      <c r="K839" s="28"/>
      <c r="L839" s="72"/>
      <c r="M839" s="72"/>
      <c r="N839" s="51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26"/>
      <c r="K840" s="28"/>
      <c r="L840" s="72"/>
      <c r="M840" s="72"/>
      <c r="N840" s="51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26"/>
      <c r="K841" s="28"/>
      <c r="L841" s="72"/>
      <c r="M841" s="72"/>
      <c r="N841" s="51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26"/>
      <c r="K842" s="28"/>
      <c r="L842" s="72"/>
      <c r="M842" s="72"/>
      <c r="N842" s="51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26"/>
      <c r="K843" s="28"/>
      <c r="L843" s="72"/>
      <c r="M843" s="72"/>
      <c r="N843" s="51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26"/>
      <c r="K844" s="28"/>
      <c r="L844" s="72"/>
      <c r="M844" s="72"/>
      <c r="N844" s="51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26"/>
      <c r="K845" s="28"/>
      <c r="L845" s="72"/>
      <c r="M845" s="72"/>
      <c r="N845" s="51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26"/>
      <c r="K846" s="28"/>
      <c r="L846" s="72"/>
      <c r="M846" s="72"/>
      <c r="N846" s="51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26"/>
      <c r="K847" s="28"/>
      <c r="L847" s="72"/>
      <c r="M847" s="72"/>
      <c r="N847" s="51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26"/>
      <c r="K848" s="28"/>
      <c r="L848" s="72"/>
      <c r="M848" s="72"/>
      <c r="N848" s="51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26"/>
      <c r="K849" s="28"/>
      <c r="L849" s="72"/>
      <c r="M849" s="72"/>
      <c r="N849" s="51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26"/>
      <c r="K850" s="28"/>
      <c r="L850" s="72"/>
      <c r="M850" s="72"/>
      <c r="N850" s="51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26"/>
      <c r="K851" s="28"/>
      <c r="L851" s="72"/>
      <c r="M851" s="72"/>
      <c r="N851" s="51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26"/>
      <c r="K852" s="28"/>
      <c r="L852" s="72"/>
      <c r="M852" s="72"/>
      <c r="N852" s="51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26"/>
      <c r="K853" s="28"/>
      <c r="L853" s="72"/>
      <c r="M853" s="72"/>
      <c r="N853" s="51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26"/>
      <c r="K854" s="28"/>
      <c r="L854" s="72"/>
      <c r="M854" s="72"/>
      <c r="N854" s="51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26"/>
      <c r="K855" s="28"/>
      <c r="L855" s="72"/>
      <c r="M855" s="72"/>
      <c r="N855" s="51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26"/>
      <c r="K856" s="28"/>
      <c r="L856" s="72"/>
      <c r="M856" s="72"/>
      <c r="N856" s="51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26"/>
      <c r="K857" s="28"/>
      <c r="L857" s="72"/>
      <c r="M857" s="72"/>
      <c r="N857" s="51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26"/>
      <c r="K858" s="28"/>
      <c r="L858" s="72"/>
      <c r="M858" s="72"/>
      <c r="N858" s="51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26"/>
      <c r="K859" s="28"/>
      <c r="L859" s="72"/>
      <c r="M859" s="72"/>
      <c r="N859" s="51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26"/>
      <c r="K860" s="28"/>
      <c r="L860" s="72"/>
      <c r="M860" s="72"/>
      <c r="N860" s="51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26"/>
      <c r="K861" s="28"/>
      <c r="L861" s="72"/>
      <c r="M861" s="72"/>
      <c r="N861" s="51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26"/>
      <c r="K862" s="28"/>
      <c r="L862" s="72"/>
      <c r="M862" s="72"/>
      <c r="N862" s="51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26"/>
      <c r="K863" s="28"/>
      <c r="L863" s="72"/>
      <c r="M863" s="72"/>
      <c r="N863" s="51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26"/>
      <c r="K864" s="28"/>
      <c r="L864" s="72"/>
      <c r="M864" s="72"/>
      <c r="N864" s="51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26"/>
      <c r="K865" s="28"/>
      <c r="L865" s="72"/>
      <c r="M865" s="72"/>
      <c r="N865" s="51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26"/>
      <c r="K866" s="28"/>
      <c r="L866" s="72"/>
      <c r="M866" s="72"/>
      <c r="N866" s="51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26"/>
      <c r="K867" s="28"/>
      <c r="L867" s="72"/>
      <c r="M867" s="72"/>
      <c r="N867" s="51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26"/>
      <c r="K868" s="28"/>
      <c r="L868" s="72"/>
      <c r="M868" s="72"/>
      <c r="N868" s="51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26"/>
      <c r="K869" s="28"/>
      <c r="L869" s="72"/>
      <c r="M869" s="72"/>
      <c r="N869" s="51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26"/>
      <c r="K870" s="28"/>
      <c r="L870" s="72"/>
      <c r="M870" s="72"/>
      <c r="N870" s="51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26"/>
      <c r="K871" s="28"/>
      <c r="L871" s="72"/>
      <c r="M871" s="72"/>
      <c r="N871" s="51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26"/>
      <c r="K872" s="28"/>
      <c r="L872" s="72"/>
      <c r="M872" s="72"/>
      <c r="N872" s="51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26"/>
      <c r="K873" s="28"/>
      <c r="L873" s="72"/>
      <c r="M873" s="72"/>
      <c r="N873" s="51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26"/>
      <c r="K874" s="28"/>
      <c r="L874" s="72"/>
      <c r="M874" s="72"/>
      <c r="N874" s="51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26"/>
      <c r="K875" s="28"/>
      <c r="L875" s="72"/>
      <c r="M875" s="72"/>
      <c r="N875" s="51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26"/>
      <c r="K876" s="28"/>
      <c r="L876" s="72"/>
      <c r="M876" s="72"/>
      <c r="N876" s="51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26"/>
      <c r="K877" s="28"/>
      <c r="L877" s="72"/>
      <c r="M877" s="72"/>
      <c r="N877" s="51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26"/>
      <c r="K878" s="28"/>
      <c r="L878" s="72"/>
      <c r="M878" s="72"/>
      <c r="N878" s="51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26"/>
      <c r="K879" s="28"/>
      <c r="L879" s="72"/>
      <c r="M879" s="72"/>
      <c r="N879" s="51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26"/>
      <c r="K880" s="28"/>
      <c r="L880" s="72"/>
      <c r="M880" s="72"/>
      <c r="N880" s="51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26"/>
      <c r="K881" s="28"/>
      <c r="L881" s="72"/>
      <c r="M881" s="72"/>
      <c r="N881" s="51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26"/>
      <c r="K882" s="28"/>
      <c r="L882" s="72"/>
      <c r="M882" s="72"/>
      <c r="N882" s="51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26"/>
      <c r="K883" s="28"/>
      <c r="L883" s="72"/>
      <c r="M883" s="72"/>
      <c r="N883" s="51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26"/>
      <c r="K884" s="28"/>
      <c r="L884" s="72"/>
      <c r="M884" s="72"/>
      <c r="N884" s="51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26"/>
      <c r="K885" s="28"/>
      <c r="L885" s="72"/>
      <c r="M885" s="72"/>
      <c r="N885" s="51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26"/>
      <c r="K886" s="28"/>
      <c r="L886" s="72"/>
      <c r="M886" s="72"/>
      <c r="N886" s="51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26"/>
      <c r="K887" s="28"/>
      <c r="L887" s="72"/>
      <c r="M887" s="72"/>
      <c r="N887" s="51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26"/>
      <c r="K888" s="28"/>
      <c r="L888" s="72"/>
      <c r="M888" s="72"/>
      <c r="N888" s="51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26"/>
      <c r="K889" s="28"/>
      <c r="L889" s="72"/>
      <c r="M889" s="72"/>
      <c r="N889" s="51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26"/>
      <c r="K890" s="28"/>
      <c r="L890" s="72"/>
      <c r="M890" s="72"/>
      <c r="N890" s="51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26"/>
      <c r="K891" s="28"/>
      <c r="L891" s="72"/>
      <c r="M891" s="72"/>
      <c r="N891" s="51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26"/>
      <c r="K892" s="28"/>
      <c r="L892" s="72"/>
      <c r="M892" s="72"/>
      <c r="N892" s="51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26"/>
      <c r="K893" s="28"/>
      <c r="L893" s="72"/>
      <c r="M893" s="72"/>
      <c r="N893" s="51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26"/>
      <c r="K894" s="28"/>
      <c r="L894" s="72"/>
      <c r="M894" s="72"/>
      <c r="N894" s="51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26"/>
      <c r="K895" s="28"/>
      <c r="L895" s="72"/>
      <c r="M895" s="72"/>
      <c r="N895" s="51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26"/>
      <c r="K896" s="28"/>
      <c r="L896" s="72"/>
      <c r="M896" s="72"/>
      <c r="N896" s="51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26"/>
      <c r="K897" s="28"/>
      <c r="L897" s="72"/>
      <c r="M897" s="72"/>
      <c r="N897" s="51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26"/>
      <c r="K898" s="28"/>
      <c r="L898" s="72"/>
      <c r="M898" s="72"/>
      <c r="N898" s="51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26"/>
      <c r="K899" s="28"/>
      <c r="L899" s="72"/>
      <c r="M899" s="72"/>
      <c r="N899" s="51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26"/>
      <c r="K900" s="28"/>
      <c r="L900" s="72"/>
      <c r="M900" s="72"/>
      <c r="N900" s="51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26"/>
      <c r="K901" s="28"/>
      <c r="L901" s="72"/>
      <c r="M901" s="72"/>
      <c r="N901" s="51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26"/>
      <c r="K902" s="28"/>
      <c r="L902" s="72"/>
      <c r="M902" s="72"/>
      <c r="N902" s="51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26"/>
      <c r="K903" s="28"/>
      <c r="L903" s="72"/>
      <c r="M903" s="72"/>
      <c r="N903" s="51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26"/>
      <c r="K904" s="28"/>
      <c r="L904" s="72"/>
      <c r="M904" s="72"/>
      <c r="N904" s="51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26"/>
      <c r="K905" s="28"/>
      <c r="L905" s="72"/>
      <c r="M905" s="72"/>
      <c r="N905" s="51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26"/>
      <c r="K906" s="28"/>
      <c r="L906" s="72"/>
      <c r="M906" s="72"/>
      <c r="N906" s="51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26"/>
      <c r="K907" s="28"/>
      <c r="L907" s="72"/>
      <c r="M907" s="72"/>
      <c r="N907" s="51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26"/>
      <c r="K908" s="28"/>
      <c r="L908" s="72"/>
      <c r="M908" s="72"/>
      <c r="N908" s="51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26"/>
      <c r="K909" s="28"/>
      <c r="L909" s="72"/>
      <c r="M909" s="72"/>
      <c r="N909" s="51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26"/>
      <c r="K910" s="28"/>
      <c r="L910" s="72"/>
      <c r="M910" s="72"/>
      <c r="N910" s="51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26"/>
      <c r="K911" s="28"/>
      <c r="L911" s="72"/>
      <c r="M911" s="72"/>
      <c r="N911" s="51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26"/>
      <c r="K912" s="28"/>
      <c r="L912" s="72"/>
      <c r="M912" s="72"/>
      <c r="N912" s="51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26"/>
      <c r="K913" s="28"/>
      <c r="L913" s="72"/>
      <c r="M913" s="72"/>
      <c r="N913" s="51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26"/>
      <c r="K914" s="28"/>
      <c r="L914" s="72"/>
      <c r="M914" s="72"/>
      <c r="N914" s="51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26"/>
      <c r="K915" s="28"/>
      <c r="L915" s="72"/>
      <c r="M915" s="72"/>
      <c r="N915" s="51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26"/>
      <c r="K916" s="28"/>
      <c r="L916" s="72"/>
      <c r="M916" s="72"/>
      <c r="N916" s="51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26"/>
      <c r="K917" s="28"/>
      <c r="L917" s="72"/>
      <c r="M917" s="72"/>
      <c r="N917" s="51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26"/>
      <c r="K918" s="28"/>
      <c r="L918" s="72"/>
      <c r="M918" s="72"/>
      <c r="N918" s="51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26"/>
      <c r="K919" s="28"/>
      <c r="L919" s="72"/>
      <c r="M919" s="72"/>
      <c r="N919" s="51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26"/>
      <c r="K920" s="28"/>
      <c r="L920" s="72"/>
      <c r="M920" s="72"/>
      <c r="N920" s="51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26"/>
      <c r="K921" s="28"/>
      <c r="L921" s="72"/>
      <c r="M921" s="72"/>
      <c r="N921" s="51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26"/>
      <c r="K922" s="28"/>
      <c r="L922" s="72"/>
      <c r="M922" s="72"/>
      <c r="N922" s="51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26"/>
      <c r="K923" s="28"/>
      <c r="L923" s="72"/>
      <c r="M923" s="72"/>
      <c r="N923" s="51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26"/>
      <c r="K924" s="28"/>
      <c r="L924" s="72"/>
      <c r="M924" s="72"/>
      <c r="N924" s="51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26"/>
      <c r="K925" s="28"/>
      <c r="L925" s="72"/>
      <c r="M925" s="72"/>
      <c r="N925" s="51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26"/>
      <c r="K926" s="28"/>
      <c r="L926" s="72"/>
      <c r="M926" s="72"/>
      <c r="N926" s="51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26"/>
      <c r="K927" s="28"/>
      <c r="L927" s="72"/>
      <c r="M927" s="72"/>
      <c r="N927" s="51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26"/>
      <c r="K928" s="28"/>
      <c r="L928" s="72"/>
      <c r="M928" s="72"/>
      <c r="N928" s="51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26"/>
      <c r="K929" s="28"/>
      <c r="L929" s="72"/>
      <c r="M929" s="72"/>
      <c r="N929" s="51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26"/>
      <c r="K930" s="28"/>
      <c r="L930" s="72"/>
      <c r="M930" s="72"/>
      <c r="N930" s="51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26"/>
      <c r="K931" s="28"/>
      <c r="L931" s="72"/>
      <c r="M931" s="72"/>
      <c r="N931" s="51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26"/>
      <c r="K932" s="28"/>
      <c r="L932" s="72"/>
      <c r="M932" s="72"/>
      <c r="N932" s="51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26"/>
      <c r="K933" s="28"/>
      <c r="L933" s="72"/>
      <c r="M933" s="72"/>
      <c r="N933" s="51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26"/>
      <c r="K934" s="28"/>
      <c r="L934" s="72"/>
      <c r="M934" s="72"/>
      <c r="N934" s="51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26"/>
      <c r="K935" s="28"/>
      <c r="L935" s="72"/>
      <c r="M935" s="72"/>
      <c r="N935" s="51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26"/>
      <c r="K936" s="28"/>
      <c r="L936" s="72"/>
      <c r="M936" s="72"/>
      <c r="N936" s="51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26"/>
      <c r="K937" s="28"/>
      <c r="L937" s="72"/>
      <c r="M937" s="72"/>
      <c r="N937" s="51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26"/>
      <c r="K938" s="28"/>
      <c r="L938" s="72"/>
      <c r="M938" s="72"/>
      <c r="N938" s="51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26"/>
      <c r="K939" s="28"/>
      <c r="L939" s="72"/>
      <c r="M939" s="72"/>
      <c r="N939" s="51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26"/>
      <c r="K940" s="28"/>
      <c r="L940" s="72"/>
      <c r="M940" s="72"/>
      <c r="N940" s="51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26"/>
      <c r="K941" s="28"/>
      <c r="L941" s="72"/>
      <c r="M941" s="72"/>
      <c r="N941" s="51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26"/>
      <c r="K942" s="28"/>
      <c r="L942" s="72"/>
      <c r="M942" s="72"/>
      <c r="N942" s="51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26"/>
      <c r="K943" s="28"/>
      <c r="L943" s="72"/>
      <c r="M943" s="72"/>
      <c r="N943" s="51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26"/>
      <c r="K944" s="28"/>
      <c r="L944" s="72"/>
      <c r="M944" s="72"/>
      <c r="N944" s="51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26"/>
      <c r="K945" s="28"/>
      <c r="L945" s="72"/>
      <c r="M945" s="72"/>
      <c r="N945" s="51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26"/>
      <c r="K946" s="28"/>
      <c r="L946" s="72"/>
      <c r="M946" s="72"/>
      <c r="N946" s="51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26"/>
      <c r="K947" s="28"/>
      <c r="L947" s="72"/>
      <c r="M947" s="72"/>
      <c r="N947" s="51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26"/>
      <c r="K948" s="28"/>
      <c r="L948" s="72"/>
      <c r="M948" s="72"/>
      <c r="N948" s="51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26"/>
      <c r="K949" s="28"/>
      <c r="L949" s="72"/>
      <c r="M949" s="72"/>
      <c r="N949" s="51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26"/>
      <c r="K950" s="28"/>
      <c r="L950" s="72"/>
      <c r="M950" s="72"/>
      <c r="N950" s="51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26"/>
      <c r="K951" s="28"/>
      <c r="L951" s="72"/>
      <c r="M951" s="72"/>
      <c r="N951" s="51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26"/>
      <c r="K952" s="28"/>
      <c r="L952" s="72"/>
      <c r="M952" s="72"/>
      <c r="N952" s="51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26"/>
      <c r="K953" s="28"/>
      <c r="L953" s="72"/>
      <c r="M953" s="72"/>
      <c r="N953" s="51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26"/>
      <c r="K954" s="28"/>
      <c r="L954" s="72"/>
      <c r="M954" s="72"/>
      <c r="N954" s="51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26"/>
      <c r="K955" s="28"/>
      <c r="L955" s="72"/>
      <c r="M955" s="72"/>
      <c r="N955" s="51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26"/>
      <c r="K956" s="28"/>
      <c r="L956" s="72"/>
      <c r="M956" s="72"/>
      <c r="N956" s="51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26"/>
      <c r="K957" s="28"/>
      <c r="L957" s="72"/>
      <c r="M957" s="72"/>
      <c r="N957" s="51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26"/>
      <c r="K958" s="28"/>
      <c r="L958" s="72"/>
      <c r="M958" s="72"/>
      <c r="N958" s="51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26"/>
      <c r="K959" s="28"/>
      <c r="L959" s="72"/>
      <c r="M959" s="72"/>
      <c r="N959" s="51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26"/>
      <c r="K960" s="28"/>
      <c r="L960" s="72"/>
      <c r="M960" s="72"/>
      <c r="N960" s="51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26"/>
      <c r="K961" s="28"/>
      <c r="L961" s="72"/>
      <c r="M961" s="72"/>
      <c r="N961" s="51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26"/>
      <c r="K962" s="28"/>
      <c r="L962" s="72"/>
      <c r="M962" s="72"/>
      <c r="N962" s="51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26"/>
      <c r="K963" s="28"/>
      <c r="L963" s="72"/>
      <c r="M963" s="72"/>
      <c r="N963" s="51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26"/>
      <c r="K964" s="28"/>
      <c r="L964" s="72"/>
      <c r="M964" s="72"/>
      <c r="N964" s="51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26"/>
      <c r="K965" s="28"/>
      <c r="L965" s="72"/>
      <c r="M965" s="72"/>
      <c r="N965" s="51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26"/>
      <c r="K966" s="28"/>
      <c r="L966" s="72"/>
      <c r="M966" s="72"/>
      <c r="N966" s="51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26"/>
      <c r="K967" s="28"/>
      <c r="L967" s="72"/>
      <c r="M967" s="72"/>
      <c r="N967" s="51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26"/>
      <c r="K968" s="28"/>
      <c r="L968" s="72"/>
      <c r="M968" s="72"/>
      <c r="N968" s="51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26"/>
      <c r="K969" s="28"/>
      <c r="L969" s="72"/>
      <c r="M969" s="72"/>
      <c r="N969" s="51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26"/>
      <c r="K970" s="28"/>
      <c r="L970" s="72"/>
      <c r="M970" s="72"/>
      <c r="N970" s="51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26"/>
      <c r="K971" s="28"/>
      <c r="L971" s="72"/>
      <c r="M971" s="72"/>
      <c r="N971" s="51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26"/>
      <c r="K972" s="28"/>
      <c r="L972" s="72"/>
      <c r="M972" s="72"/>
      <c r="N972" s="51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26"/>
      <c r="K973" s="28"/>
      <c r="L973" s="72"/>
      <c r="M973" s="72"/>
      <c r="N973" s="51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26"/>
      <c r="K974" s="28"/>
      <c r="L974" s="72"/>
      <c r="M974" s="72"/>
      <c r="N974" s="51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26"/>
      <c r="K975" s="28"/>
      <c r="L975" s="72"/>
      <c r="M975" s="72"/>
      <c r="N975" s="51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26"/>
      <c r="K976" s="28"/>
      <c r="L976" s="72"/>
      <c r="M976" s="72"/>
      <c r="N976" s="51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26"/>
      <c r="K977" s="28"/>
      <c r="L977" s="72"/>
      <c r="M977" s="72"/>
      <c r="N977" s="51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26"/>
      <c r="K978" s="28"/>
      <c r="L978" s="72"/>
      <c r="M978" s="72"/>
      <c r="N978" s="51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26"/>
      <c r="K979" s="28"/>
      <c r="L979" s="72"/>
      <c r="M979" s="72"/>
      <c r="N979" s="51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26"/>
      <c r="K980" s="28"/>
      <c r="L980" s="72"/>
      <c r="M980" s="72"/>
      <c r="N980" s="51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26"/>
      <c r="K981" s="28"/>
      <c r="L981" s="72"/>
      <c r="M981" s="72"/>
      <c r="N981" s="51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26"/>
      <c r="K982" s="28"/>
      <c r="L982" s="72"/>
      <c r="M982" s="72"/>
      <c r="N982" s="51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26"/>
      <c r="K983" s="28"/>
      <c r="L983" s="72"/>
      <c r="M983" s="72"/>
      <c r="N983" s="51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26"/>
      <c r="K984" s="28"/>
      <c r="L984" s="72"/>
      <c r="M984" s="72"/>
      <c r="N984" s="51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26"/>
      <c r="K985" s="28"/>
      <c r="L985" s="72"/>
      <c r="M985" s="72"/>
      <c r="N985" s="51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26"/>
      <c r="K986" s="28"/>
      <c r="L986" s="72"/>
      <c r="M986" s="72"/>
      <c r="N986" s="51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26"/>
      <c r="K987" s="28"/>
      <c r="L987" s="72"/>
      <c r="M987" s="72"/>
      <c r="N987" s="51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26"/>
      <c r="K988" s="28"/>
      <c r="L988" s="72"/>
      <c r="M988" s="72"/>
      <c r="N988" s="51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26"/>
      <c r="K989" s="28"/>
      <c r="L989" s="72"/>
      <c r="M989" s="72"/>
      <c r="N989" s="51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26"/>
      <c r="K990" s="28"/>
      <c r="L990" s="72"/>
      <c r="M990" s="72"/>
      <c r="N990" s="51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26"/>
      <c r="K991" s="28"/>
      <c r="L991" s="72"/>
      <c r="M991" s="72"/>
      <c r="N991" s="51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26"/>
      <c r="K992" s="28"/>
      <c r="L992" s="72"/>
      <c r="M992" s="72"/>
      <c r="N992" s="51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26"/>
      <c r="K993" s="28"/>
      <c r="L993" s="72"/>
      <c r="M993" s="72"/>
      <c r="N993" s="51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26"/>
      <c r="K994" s="28"/>
      <c r="L994" s="72"/>
      <c r="M994" s="72"/>
      <c r="N994" s="51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26"/>
      <c r="K995" s="28"/>
      <c r="L995" s="72"/>
      <c r="M995" s="72"/>
      <c r="N995" s="51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26"/>
      <c r="K996" s="28"/>
      <c r="L996" s="72"/>
      <c r="M996" s="72"/>
      <c r="N996" s="51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26"/>
      <c r="K997" s="28"/>
      <c r="L997" s="72"/>
      <c r="M997" s="72"/>
      <c r="N997" s="51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26"/>
      <c r="K998" s="28"/>
      <c r="L998" s="72"/>
      <c r="M998" s="72"/>
      <c r="N998" s="51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26"/>
      <c r="K999" s="28"/>
      <c r="L999" s="72"/>
      <c r="M999" s="72"/>
      <c r="N999" s="51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26"/>
      <c r="K1000" s="28"/>
      <c r="L1000" s="72"/>
      <c r="M1000" s="72"/>
      <c r="N1000" s="51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26"/>
      <c r="K1001" s="28"/>
      <c r="L1001" s="72"/>
      <c r="M1001" s="72"/>
      <c r="N1001" s="51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26"/>
      <c r="K1002" s="28"/>
      <c r="L1002" s="72"/>
      <c r="M1002" s="72"/>
      <c r="N1002" s="51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26"/>
      <c r="K1003" s="28"/>
      <c r="L1003" s="72"/>
      <c r="M1003" s="72"/>
      <c r="N1003" s="51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26"/>
      <c r="K1004" s="28"/>
      <c r="L1004" s="72"/>
      <c r="M1004" s="72"/>
      <c r="N1004" s="51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</row>
    <row r="1005" ht="15.75" customHeight="1">
      <c r="A1005" s="39"/>
      <c r="B1005" s="39"/>
      <c r="C1005" s="39"/>
      <c r="D1005" s="39"/>
      <c r="E1005" s="39"/>
      <c r="F1005" s="39"/>
      <c r="G1005" s="39"/>
      <c r="H1005" s="39"/>
      <c r="I1005" s="39"/>
      <c r="J1005" s="26"/>
      <c r="K1005" s="28"/>
      <c r="L1005" s="72"/>
      <c r="M1005" s="72"/>
      <c r="N1005" s="51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</row>
    <row r="1006" ht="15.75" customHeight="1">
      <c r="A1006" s="39"/>
      <c r="B1006" s="39"/>
      <c r="C1006" s="39"/>
      <c r="D1006" s="39"/>
      <c r="E1006" s="39"/>
      <c r="F1006" s="39"/>
      <c r="G1006" s="39"/>
      <c r="H1006" s="39"/>
      <c r="I1006" s="39"/>
      <c r="J1006" s="26"/>
      <c r="K1006" s="28"/>
      <c r="L1006" s="72"/>
      <c r="M1006" s="72"/>
      <c r="N1006" s="51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</row>
    <row r="1007" ht="15.75" customHeight="1">
      <c r="A1007" s="39"/>
      <c r="B1007" s="39"/>
      <c r="C1007" s="39"/>
      <c r="D1007" s="39"/>
      <c r="E1007" s="39"/>
      <c r="F1007" s="39"/>
      <c r="G1007" s="39"/>
      <c r="H1007" s="39"/>
      <c r="I1007" s="39"/>
      <c r="J1007" s="26"/>
      <c r="K1007" s="28"/>
      <c r="L1007" s="72"/>
      <c r="M1007" s="72"/>
      <c r="N1007" s="51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</row>
    <row r="1008" ht="15.75" customHeight="1">
      <c r="A1008" s="39"/>
      <c r="B1008" s="39"/>
      <c r="C1008" s="39"/>
      <c r="D1008" s="39"/>
      <c r="E1008" s="39"/>
      <c r="F1008" s="39"/>
      <c r="G1008" s="39"/>
      <c r="H1008" s="39"/>
      <c r="I1008" s="39"/>
      <c r="J1008" s="26"/>
      <c r="K1008" s="28"/>
      <c r="L1008" s="72"/>
      <c r="M1008" s="72"/>
      <c r="N1008" s="51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</row>
    <row r="1009" ht="15.75" customHeight="1">
      <c r="A1009" s="39"/>
      <c r="B1009" s="39"/>
      <c r="C1009" s="39"/>
      <c r="D1009" s="39"/>
      <c r="E1009" s="39"/>
      <c r="F1009" s="39"/>
      <c r="G1009" s="39"/>
      <c r="H1009" s="39"/>
      <c r="I1009" s="39"/>
      <c r="J1009" s="26"/>
      <c r="K1009" s="28"/>
      <c r="L1009" s="72"/>
      <c r="M1009" s="72"/>
      <c r="N1009" s="51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</row>
    <row r="1010" ht="15.75" customHeight="1">
      <c r="A1010" s="39"/>
      <c r="B1010" s="39"/>
      <c r="C1010" s="39"/>
      <c r="D1010" s="39"/>
      <c r="E1010" s="39"/>
      <c r="F1010" s="39"/>
      <c r="G1010" s="39"/>
      <c r="H1010" s="39"/>
      <c r="I1010" s="39"/>
      <c r="J1010" s="26"/>
      <c r="K1010" s="28"/>
      <c r="L1010" s="72"/>
      <c r="M1010" s="72"/>
      <c r="N1010" s="51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</row>
    <row r="1011" ht="15.75" customHeight="1">
      <c r="A1011" s="39"/>
      <c r="B1011" s="39"/>
      <c r="C1011" s="39"/>
      <c r="D1011" s="39"/>
      <c r="E1011" s="39"/>
      <c r="F1011" s="39"/>
      <c r="G1011" s="39"/>
      <c r="H1011" s="39"/>
      <c r="I1011" s="39"/>
      <c r="J1011" s="26"/>
      <c r="K1011" s="28"/>
      <c r="L1011" s="72"/>
      <c r="M1011" s="72"/>
      <c r="N1011" s="51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</row>
    <row r="1012" ht="15.75" customHeight="1">
      <c r="A1012" s="39"/>
      <c r="B1012" s="39"/>
      <c r="C1012" s="39"/>
      <c r="D1012" s="39"/>
      <c r="E1012" s="39"/>
      <c r="F1012" s="39"/>
      <c r="G1012" s="39"/>
      <c r="H1012" s="39"/>
      <c r="I1012" s="39"/>
      <c r="J1012" s="26"/>
      <c r="K1012" s="28"/>
      <c r="L1012" s="72"/>
      <c r="M1012" s="72"/>
      <c r="N1012" s="51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</row>
    <row r="1013" ht="15.75" customHeight="1">
      <c r="A1013" s="39"/>
      <c r="B1013" s="39"/>
      <c r="C1013" s="39"/>
      <c r="D1013" s="39"/>
      <c r="E1013" s="39"/>
      <c r="F1013" s="39"/>
      <c r="G1013" s="39"/>
      <c r="H1013" s="39"/>
      <c r="I1013" s="39"/>
      <c r="J1013" s="26"/>
      <c r="K1013" s="28"/>
      <c r="L1013" s="72"/>
      <c r="M1013" s="72"/>
      <c r="N1013" s="51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  <c r="AA1013" s="39"/>
    </row>
    <row r="1014" ht="15.75" customHeight="1">
      <c r="A1014" s="39"/>
      <c r="B1014" s="39"/>
      <c r="C1014" s="39"/>
      <c r="D1014" s="39"/>
      <c r="E1014" s="39"/>
      <c r="F1014" s="39"/>
      <c r="G1014" s="39"/>
      <c r="H1014" s="39"/>
      <c r="I1014" s="39"/>
      <c r="J1014" s="26"/>
      <c r="K1014" s="28"/>
      <c r="L1014" s="72"/>
      <c r="M1014" s="72"/>
      <c r="N1014" s="51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</row>
    <row r="1015" ht="15.75" customHeight="1">
      <c r="A1015" s="39"/>
      <c r="B1015" s="39"/>
      <c r="C1015" s="39"/>
      <c r="D1015" s="39"/>
      <c r="E1015" s="39"/>
      <c r="F1015" s="39"/>
      <c r="G1015" s="39"/>
      <c r="H1015" s="39"/>
      <c r="I1015" s="39"/>
      <c r="J1015" s="26"/>
      <c r="K1015" s="28"/>
      <c r="L1015" s="72"/>
      <c r="M1015" s="72"/>
      <c r="N1015" s="51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</row>
    <row r="1016" ht="15.75" customHeight="1">
      <c r="A1016" s="39"/>
      <c r="B1016" s="39"/>
      <c r="C1016" s="39"/>
      <c r="D1016" s="39"/>
      <c r="E1016" s="39"/>
      <c r="F1016" s="39"/>
      <c r="G1016" s="39"/>
      <c r="H1016" s="39"/>
      <c r="I1016" s="39"/>
      <c r="J1016" s="26"/>
      <c r="K1016" s="28"/>
      <c r="L1016" s="72"/>
      <c r="M1016" s="72"/>
      <c r="N1016" s="51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  <c r="AA1016" s="39"/>
    </row>
    <row r="1017" ht="15.75" customHeight="1">
      <c r="A1017" s="39"/>
      <c r="B1017" s="39"/>
      <c r="C1017" s="39"/>
      <c r="D1017" s="39"/>
      <c r="E1017" s="39"/>
      <c r="F1017" s="39"/>
      <c r="G1017" s="39"/>
      <c r="H1017" s="39"/>
      <c r="I1017" s="39"/>
      <c r="J1017" s="26"/>
      <c r="K1017" s="28"/>
      <c r="L1017" s="72"/>
      <c r="M1017" s="72"/>
      <c r="N1017" s="51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  <c r="AA1017" s="39"/>
    </row>
    <row r="1018" ht="15.75" customHeight="1">
      <c r="A1018" s="39"/>
      <c r="B1018" s="39"/>
      <c r="C1018" s="39"/>
      <c r="D1018" s="39"/>
      <c r="E1018" s="39"/>
      <c r="F1018" s="39"/>
      <c r="G1018" s="39"/>
      <c r="H1018" s="39"/>
      <c r="I1018" s="39"/>
      <c r="J1018" s="26"/>
      <c r="K1018" s="28"/>
      <c r="L1018" s="72"/>
      <c r="M1018" s="72"/>
      <c r="N1018" s="51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  <c r="AA1018" s="39"/>
    </row>
    <row r="1019" ht="15.75" customHeight="1">
      <c r="A1019" s="39"/>
      <c r="B1019" s="39"/>
      <c r="C1019" s="39"/>
      <c r="D1019" s="39"/>
      <c r="E1019" s="39"/>
      <c r="F1019" s="39"/>
      <c r="G1019" s="39"/>
      <c r="H1019" s="39"/>
      <c r="I1019" s="39"/>
      <c r="J1019" s="26"/>
      <c r="K1019" s="28"/>
      <c r="L1019" s="72"/>
      <c r="M1019" s="72"/>
      <c r="N1019" s="51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  <c r="AA1019" s="39"/>
    </row>
    <row r="1020" ht="15.75" customHeight="1">
      <c r="A1020" s="39"/>
      <c r="B1020" s="39"/>
      <c r="C1020" s="39"/>
      <c r="D1020" s="39"/>
      <c r="E1020" s="39"/>
      <c r="F1020" s="39"/>
      <c r="G1020" s="39"/>
      <c r="H1020" s="39"/>
      <c r="I1020" s="39"/>
      <c r="J1020" s="26"/>
      <c r="K1020" s="28"/>
      <c r="L1020" s="72"/>
      <c r="M1020" s="72"/>
      <c r="N1020" s="51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  <c r="AA1020" s="39"/>
    </row>
    <row r="1021" ht="15.75" customHeight="1">
      <c r="A1021" s="39"/>
      <c r="B1021" s="39"/>
      <c r="C1021" s="39"/>
      <c r="D1021" s="39"/>
      <c r="E1021" s="39"/>
      <c r="F1021" s="39"/>
      <c r="G1021" s="39"/>
      <c r="H1021" s="39"/>
      <c r="I1021" s="39"/>
      <c r="J1021" s="26"/>
      <c r="K1021" s="28"/>
      <c r="L1021" s="72"/>
      <c r="M1021" s="72"/>
      <c r="N1021" s="51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39"/>
    </row>
    <row r="1022" ht="15.75" customHeight="1">
      <c r="A1022" s="39"/>
      <c r="B1022" s="39"/>
      <c r="C1022" s="39"/>
      <c r="D1022" s="39"/>
      <c r="E1022" s="39"/>
      <c r="F1022" s="39"/>
      <c r="G1022" s="39"/>
      <c r="H1022" s="39"/>
      <c r="I1022" s="39"/>
      <c r="J1022" s="26"/>
      <c r="K1022" s="28"/>
      <c r="L1022" s="72"/>
      <c r="M1022" s="72"/>
      <c r="N1022" s="51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</row>
    <row r="1023" ht="15.75" customHeight="1">
      <c r="A1023" s="39"/>
      <c r="B1023" s="39"/>
      <c r="C1023" s="39"/>
      <c r="D1023" s="39"/>
      <c r="E1023" s="39"/>
      <c r="F1023" s="39"/>
      <c r="G1023" s="39"/>
      <c r="H1023" s="39"/>
      <c r="I1023" s="39"/>
      <c r="J1023" s="26"/>
      <c r="K1023" s="28"/>
      <c r="L1023" s="72"/>
      <c r="M1023" s="72"/>
      <c r="N1023" s="51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</row>
    <row r="1024" ht="15.75" customHeight="1">
      <c r="A1024" s="39"/>
      <c r="B1024" s="39"/>
      <c r="C1024" s="39"/>
      <c r="D1024" s="39"/>
      <c r="E1024" s="39"/>
      <c r="F1024" s="39"/>
      <c r="G1024" s="39"/>
      <c r="H1024" s="39"/>
      <c r="I1024" s="39"/>
      <c r="J1024" s="26"/>
      <c r="K1024" s="28"/>
      <c r="L1024" s="72"/>
      <c r="M1024" s="72"/>
      <c r="N1024" s="51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</row>
    <row r="1025" ht="15.75" customHeight="1">
      <c r="A1025" s="39"/>
      <c r="B1025" s="39"/>
      <c r="C1025" s="39"/>
      <c r="D1025" s="39"/>
      <c r="E1025" s="39"/>
      <c r="F1025" s="39"/>
      <c r="G1025" s="39"/>
      <c r="H1025" s="39"/>
      <c r="I1025" s="39"/>
      <c r="J1025" s="26"/>
      <c r="K1025" s="28"/>
      <c r="L1025" s="72"/>
      <c r="M1025" s="72"/>
      <c r="N1025" s="51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</row>
    <row r="1026" ht="15.75" customHeight="1">
      <c r="A1026" s="39"/>
      <c r="B1026" s="39"/>
      <c r="C1026" s="39"/>
      <c r="D1026" s="39"/>
      <c r="E1026" s="39"/>
      <c r="F1026" s="39"/>
      <c r="G1026" s="39"/>
      <c r="H1026" s="39"/>
      <c r="I1026" s="39"/>
      <c r="J1026" s="26"/>
      <c r="K1026" s="28"/>
      <c r="L1026" s="72"/>
      <c r="M1026" s="72"/>
      <c r="N1026" s="51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  <c r="AA1026" s="39"/>
    </row>
    <row r="1027" ht="15.75" customHeight="1">
      <c r="A1027" s="39"/>
      <c r="B1027" s="39"/>
      <c r="C1027" s="39"/>
      <c r="D1027" s="39"/>
      <c r="E1027" s="39"/>
      <c r="F1027" s="39"/>
      <c r="G1027" s="39"/>
      <c r="H1027" s="39"/>
      <c r="I1027" s="39"/>
      <c r="J1027" s="26"/>
      <c r="K1027" s="28"/>
      <c r="L1027" s="72"/>
      <c r="M1027" s="72"/>
      <c r="N1027" s="51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  <c r="AA1027" s="39"/>
    </row>
    <row r="1028" ht="15.75" customHeight="1">
      <c r="A1028" s="39"/>
      <c r="B1028" s="39"/>
      <c r="C1028" s="39"/>
      <c r="D1028" s="39"/>
      <c r="E1028" s="39"/>
      <c r="F1028" s="39"/>
      <c r="G1028" s="39"/>
      <c r="H1028" s="39"/>
      <c r="I1028" s="39"/>
      <c r="J1028" s="26"/>
      <c r="K1028" s="28"/>
      <c r="L1028" s="72"/>
      <c r="M1028" s="72"/>
      <c r="N1028" s="51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  <c r="AA1028" s="39"/>
    </row>
    <row r="1029" ht="15.75" customHeight="1">
      <c r="A1029" s="39"/>
      <c r="B1029" s="39"/>
      <c r="C1029" s="39"/>
      <c r="D1029" s="39"/>
      <c r="E1029" s="39"/>
      <c r="F1029" s="39"/>
      <c r="G1029" s="39"/>
      <c r="H1029" s="39"/>
      <c r="I1029" s="39"/>
      <c r="J1029" s="26"/>
      <c r="K1029" s="28"/>
      <c r="L1029" s="72"/>
      <c r="M1029" s="72"/>
      <c r="N1029" s="51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  <c r="AA1029" s="39"/>
    </row>
    <row r="1030" ht="15.75" customHeight="1">
      <c r="A1030" s="39"/>
      <c r="B1030" s="39"/>
      <c r="C1030" s="39"/>
      <c r="D1030" s="39"/>
      <c r="E1030" s="39"/>
      <c r="F1030" s="39"/>
      <c r="G1030" s="39"/>
      <c r="H1030" s="39"/>
      <c r="I1030" s="39"/>
      <c r="J1030" s="26"/>
      <c r="K1030" s="28"/>
      <c r="L1030" s="72"/>
      <c r="M1030" s="72"/>
      <c r="N1030" s="51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/>
    </row>
    <row r="1031" ht="15.75" customHeight="1">
      <c r="A1031" s="39"/>
      <c r="B1031" s="39"/>
      <c r="C1031" s="39"/>
      <c r="D1031" s="39"/>
      <c r="E1031" s="39"/>
      <c r="F1031" s="39"/>
      <c r="G1031" s="39"/>
      <c r="H1031" s="39"/>
      <c r="I1031" s="39"/>
      <c r="J1031" s="26"/>
      <c r="K1031" s="28"/>
      <c r="L1031" s="72"/>
      <c r="M1031" s="72"/>
      <c r="N1031" s="51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  <c r="AA1031" s="39"/>
    </row>
    <row r="1032" ht="15.75" customHeight="1">
      <c r="A1032" s="39"/>
      <c r="B1032" s="39"/>
      <c r="C1032" s="39"/>
      <c r="D1032" s="39"/>
      <c r="E1032" s="39"/>
      <c r="F1032" s="39"/>
      <c r="G1032" s="39"/>
      <c r="H1032" s="39"/>
      <c r="I1032" s="39"/>
      <c r="J1032" s="26"/>
      <c r="K1032" s="28"/>
      <c r="L1032" s="72"/>
      <c r="M1032" s="72"/>
      <c r="N1032" s="51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  <c r="Y1032" s="39"/>
      <c r="Z1032" s="39"/>
      <c r="AA1032" s="39"/>
    </row>
    <row r="1033" ht="15.75" customHeight="1">
      <c r="A1033" s="39"/>
      <c r="B1033" s="39"/>
      <c r="C1033" s="39"/>
      <c r="D1033" s="39"/>
      <c r="E1033" s="39"/>
      <c r="F1033" s="39"/>
      <c r="G1033" s="39"/>
      <c r="H1033" s="39"/>
      <c r="I1033" s="39"/>
      <c r="J1033" s="26"/>
      <c r="K1033" s="28"/>
      <c r="L1033" s="72"/>
      <c r="M1033" s="72"/>
      <c r="N1033" s="51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  <c r="AA1033" s="39"/>
    </row>
    <row r="1034" ht="15.75" customHeight="1">
      <c r="A1034" s="39"/>
      <c r="B1034" s="39"/>
      <c r="C1034" s="39"/>
      <c r="D1034" s="39"/>
      <c r="E1034" s="39"/>
      <c r="F1034" s="39"/>
      <c r="G1034" s="39"/>
      <c r="H1034" s="39"/>
      <c r="I1034" s="39"/>
      <c r="J1034" s="26"/>
      <c r="K1034" s="28"/>
      <c r="L1034" s="72"/>
      <c r="M1034" s="72"/>
      <c r="N1034" s="51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  <c r="AA1034" s="39"/>
    </row>
    <row r="1035" ht="15.75" customHeight="1">
      <c r="A1035" s="39"/>
      <c r="B1035" s="39"/>
      <c r="C1035" s="39"/>
      <c r="D1035" s="39"/>
      <c r="E1035" s="39"/>
      <c r="F1035" s="39"/>
      <c r="G1035" s="39"/>
      <c r="H1035" s="39"/>
      <c r="I1035" s="39"/>
      <c r="J1035" s="26"/>
      <c r="K1035" s="28"/>
      <c r="L1035" s="72"/>
      <c r="M1035" s="72"/>
      <c r="N1035" s="51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  <c r="AA1035" s="39"/>
    </row>
    <row r="1036" ht="15.75" customHeight="1">
      <c r="A1036" s="39"/>
      <c r="B1036" s="39"/>
      <c r="C1036" s="39"/>
      <c r="D1036" s="39"/>
      <c r="E1036" s="39"/>
      <c r="F1036" s="39"/>
      <c r="G1036" s="39"/>
      <c r="H1036" s="39"/>
      <c r="I1036" s="39"/>
      <c r="J1036" s="26"/>
      <c r="K1036" s="28"/>
      <c r="L1036" s="72"/>
      <c r="M1036" s="72"/>
      <c r="N1036" s="51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  <c r="AA1036" s="39"/>
    </row>
    <row r="1037" ht="15.75" customHeight="1">
      <c r="A1037" s="39"/>
      <c r="B1037" s="39"/>
      <c r="C1037" s="39"/>
      <c r="D1037" s="39"/>
      <c r="E1037" s="39"/>
      <c r="F1037" s="39"/>
      <c r="G1037" s="39"/>
      <c r="H1037" s="39"/>
      <c r="I1037" s="39"/>
      <c r="J1037" s="26"/>
      <c r="K1037" s="28"/>
      <c r="L1037" s="72"/>
      <c r="M1037" s="72"/>
      <c r="N1037" s="51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  <c r="Y1037" s="39"/>
      <c r="Z1037" s="39"/>
      <c r="AA1037" s="39"/>
    </row>
    <row r="1038" ht="15.75" customHeight="1">
      <c r="A1038" s="39"/>
      <c r="B1038" s="39"/>
      <c r="C1038" s="39"/>
      <c r="D1038" s="39"/>
      <c r="E1038" s="39"/>
      <c r="F1038" s="39"/>
      <c r="G1038" s="39"/>
      <c r="H1038" s="39"/>
      <c r="I1038" s="39"/>
      <c r="J1038" s="26"/>
      <c r="K1038" s="28"/>
      <c r="L1038" s="72"/>
      <c r="M1038" s="72"/>
      <c r="N1038" s="51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  <c r="AA1038" s="39"/>
    </row>
    <row r="1039" ht="15.75" customHeight="1">
      <c r="A1039" s="39"/>
      <c r="B1039" s="39"/>
      <c r="C1039" s="39"/>
      <c r="D1039" s="39"/>
      <c r="E1039" s="39"/>
      <c r="F1039" s="39"/>
      <c r="G1039" s="39"/>
      <c r="H1039" s="39"/>
      <c r="I1039" s="39"/>
      <c r="J1039" s="26"/>
      <c r="K1039" s="28"/>
      <c r="L1039" s="72"/>
      <c r="M1039" s="72"/>
      <c r="N1039" s="51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  <c r="Y1039" s="39"/>
      <c r="Z1039" s="39"/>
      <c r="AA1039" s="39"/>
    </row>
    <row r="1040" ht="15.75" customHeight="1">
      <c r="A1040" s="39"/>
      <c r="B1040" s="39"/>
      <c r="C1040" s="39"/>
      <c r="D1040" s="39"/>
      <c r="E1040" s="39"/>
      <c r="F1040" s="39"/>
      <c r="G1040" s="39"/>
      <c r="H1040" s="39"/>
      <c r="I1040" s="39"/>
      <c r="J1040" s="26"/>
      <c r="K1040" s="28"/>
      <c r="L1040" s="72"/>
      <c r="M1040" s="72"/>
      <c r="N1040" s="51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  <c r="Y1040" s="39"/>
      <c r="Z1040" s="39"/>
      <c r="AA1040" s="39"/>
    </row>
    <row r="1041" ht="15.75" customHeight="1">
      <c r="A1041" s="39"/>
      <c r="B1041" s="39"/>
      <c r="C1041" s="39"/>
      <c r="D1041" s="39"/>
      <c r="E1041" s="39"/>
      <c r="F1041" s="39"/>
      <c r="G1041" s="39"/>
      <c r="H1041" s="39"/>
      <c r="I1041" s="39"/>
      <c r="J1041" s="26"/>
      <c r="K1041" s="28"/>
      <c r="L1041" s="72"/>
      <c r="M1041" s="72"/>
      <c r="N1041" s="51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</row>
    <row r="1042" ht="15.75" customHeight="1">
      <c r="A1042" s="39"/>
      <c r="B1042" s="39"/>
      <c r="C1042" s="39"/>
      <c r="D1042" s="39"/>
      <c r="E1042" s="39"/>
      <c r="F1042" s="39"/>
      <c r="G1042" s="39"/>
      <c r="H1042" s="39"/>
      <c r="I1042" s="39"/>
      <c r="J1042" s="26"/>
      <c r="K1042" s="28"/>
      <c r="L1042" s="72"/>
      <c r="M1042" s="72"/>
      <c r="N1042" s="51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  <c r="AA1042" s="39"/>
    </row>
    <row r="1043" ht="15.75" customHeight="1">
      <c r="A1043" s="39"/>
      <c r="B1043" s="39"/>
      <c r="C1043" s="39"/>
      <c r="D1043" s="39"/>
      <c r="E1043" s="39"/>
      <c r="F1043" s="39"/>
      <c r="G1043" s="39"/>
      <c r="H1043" s="39"/>
      <c r="I1043" s="39"/>
      <c r="J1043" s="26"/>
      <c r="K1043" s="28"/>
      <c r="L1043" s="72"/>
      <c r="M1043" s="72"/>
      <c r="N1043" s="51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  <c r="AA1043" s="39"/>
    </row>
    <row r="1044" ht="15.75" customHeight="1">
      <c r="A1044" s="39"/>
      <c r="B1044" s="39"/>
      <c r="C1044" s="39"/>
      <c r="D1044" s="39"/>
      <c r="E1044" s="39"/>
      <c r="F1044" s="39"/>
      <c r="G1044" s="39"/>
      <c r="H1044" s="39"/>
      <c r="I1044" s="39"/>
      <c r="J1044" s="26"/>
      <c r="K1044" s="28"/>
      <c r="L1044" s="72"/>
      <c r="M1044" s="72"/>
      <c r="N1044" s="51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  <c r="AA1044" s="39"/>
    </row>
    <row r="1045" ht="15.75" customHeight="1">
      <c r="A1045" s="39"/>
      <c r="B1045" s="39"/>
      <c r="C1045" s="39"/>
      <c r="D1045" s="39"/>
      <c r="E1045" s="39"/>
      <c r="F1045" s="39"/>
      <c r="G1045" s="39"/>
      <c r="H1045" s="39"/>
      <c r="I1045" s="151"/>
      <c r="J1045" s="26"/>
      <c r="K1045" s="28"/>
      <c r="L1045" s="72"/>
      <c r="M1045" s="72"/>
      <c r="N1045" s="51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  <c r="AA1045" s="39"/>
    </row>
    <row r="1046" ht="15.75" customHeight="1">
      <c r="A1046" s="39"/>
      <c r="B1046" s="39"/>
      <c r="C1046" s="39"/>
      <c r="D1046" s="39"/>
      <c r="E1046" s="39"/>
      <c r="F1046" s="39"/>
      <c r="G1046" s="39"/>
      <c r="H1046" s="39"/>
      <c r="I1046" s="151"/>
      <c r="J1046" s="26"/>
      <c r="K1046" s="28"/>
      <c r="L1046" s="72"/>
      <c r="M1046" s="72"/>
      <c r="N1046" s="51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  <c r="AA1046" s="39"/>
    </row>
    <row r="1047" ht="15.75" customHeight="1">
      <c r="A1047" s="39"/>
      <c r="B1047" s="39"/>
      <c r="C1047" s="39"/>
      <c r="D1047" s="39"/>
      <c r="E1047" s="39"/>
      <c r="F1047" s="39"/>
      <c r="G1047" s="39"/>
      <c r="H1047" s="39"/>
      <c r="I1047" s="151"/>
      <c r="J1047" s="26"/>
      <c r="K1047" s="28"/>
      <c r="L1047" s="72"/>
      <c r="M1047" s="72"/>
      <c r="N1047" s="51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  <c r="AA1047" s="39"/>
    </row>
    <row r="1048" ht="15.75" customHeight="1">
      <c r="A1048" s="39"/>
      <c r="B1048" s="39"/>
      <c r="C1048" s="39"/>
      <c r="D1048" s="39"/>
      <c r="E1048" s="39"/>
      <c r="F1048" s="39"/>
      <c r="G1048" s="39"/>
      <c r="H1048" s="39"/>
      <c r="I1048" s="151"/>
      <c r="J1048" s="26"/>
      <c r="K1048" s="28"/>
      <c r="L1048" s="72"/>
      <c r="M1048" s="72"/>
      <c r="N1048" s="51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  <c r="AA1048" s="39"/>
    </row>
    <row r="1049" ht="15.75" customHeight="1">
      <c r="A1049" s="39"/>
      <c r="B1049" s="39"/>
      <c r="C1049" s="39"/>
      <c r="D1049" s="39"/>
      <c r="E1049" s="39"/>
      <c r="F1049" s="39"/>
      <c r="G1049" s="39"/>
      <c r="H1049" s="39"/>
      <c r="I1049" s="151"/>
      <c r="J1049" s="26"/>
      <c r="K1049" s="28"/>
      <c r="L1049" s="72"/>
      <c r="M1049" s="72"/>
      <c r="N1049" s="51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  <c r="AA1049" s="39"/>
    </row>
    <row r="1050" ht="15.75" customHeight="1">
      <c r="A1050" s="39"/>
      <c r="B1050" s="39"/>
      <c r="C1050" s="39"/>
      <c r="D1050" s="39"/>
      <c r="E1050" s="39"/>
      <c r="F1050" s="39"/>
      <c r="G1050" s="39"/>
      <c r="H1050" s="39"/>
      <c r="I1050" s="151"/>
      <c r="J1050" s="26"/>
      <c r="K1050" s="28"/>
      <c r="L1050" s="72"/>
      <c r="M1050" s="72"/>
      <c r="N1050" s="51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  <c r="AA1050" s="39"/>
    </row>
    <row r="1051" ht="15.75" customHeight="1">
      <c r="A1051" s="39"/>
      <c r="B1051" s="151"/>
      <c r="C1051" s="39"/>
      <c r="D1051" s="39"/>
      <c r="E1051" s="39"/>
      <c r="F1051" s="39"/>
      <c r="G1051" s="39"/>
      <c r="H1051" s="39"/>
      <c r="I1051" s="151"/>
      <c r="J1051" s="26"/>
      <c r="K1051" s="28"/>
      <c r="L1051" s="72"/>
      <c r="M1051" s="72"/>
      <c r="N1051" s="51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  <c r="AA1051" s="39"/>
    </row>
    <row r="1052" ht="15.75" customHeight="1">
      <c r="A1052" s="39"/>
      <c r="B1052" s="151"/>
      <c r="C1052" s="39"/>
      <c r="D1052" s="39"/>
      <c r="E1052" s="39"/>
      <c r="F1052" s="39"/>
      <c r="G1052" s="39"/>
      <c r="H1052" s="39"/>
      <c r="I1052" s="151"/>
      <c r="J1052" s="26"/>
      <c r="K1052" s="28"/>
      <c r="L1052" s="72"/>
      <c r="M1052" s="72"/>
      <c r="N1052" s="51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  <c r="AA1052" s="39"/>
    </row>
    <row r="1053" ht="15.75" customHeight="1">
      <c r="A1053" s="39"/>
      <c r="B1053" s="151"/>
      <c r="C1053" s="39"/>
      <c r="D1053" s="39"/>
      <c r="E1053" s="39"/>
      <c r="F1053" s="39"/>
      <c r="G1053" s="39"/>
      <c r="H1053" s="39"/>
      <c r="I1053" s="151"/>
      <c r="J1053" s="26"/>
      <c r="K1053" s="28"/>
      <c r="L1053" s="72"/>
      <c r="M1053" s="72"/>
      <c r="N1053" s="51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  <c r="AA1053" s="39"/>
    </row>
    <row r="1054" ht="15.75" customHeight="1">
      <c r="A1054" s="39"/>
      <c r="B1054" s="151"/>
      <c r="C1054" s="39"/>
      <c r="D1054" s="39"/>
      <c r="E1054" s="39"/>
      <c r="F1054" s="39"/>
      <c r="G1054" s="39"/>
      <c r="H1054" s="39"/>
      <c r="I1054" s="151"/>
      <c r="J1054" s="26"/>
      <c r="K1054" s="28"/>
      <c r="L1054" s="72"/>
      <c r="M1054" s="72"/>
      <c r="N1054" s="51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  <c r="AA1054" s="39"/>
    </row>
    <row r="1055" ht="15.75" customHeight="1">
      <c r="A1055" s="39"/>
      <c r="B1055" s="151"/>
      <c r="C1055" s="39"/>
      <c r="D1055" s="39"/>
      <c r="E1055" s="39"/>
      <c r="F1055" s="39"/>
      <c r="G1055" s="39"/>
      <c r="H1055" s="39"/>
      <c r="I1055" s="151"/>
      <c r="J1055" s="26"/>
      <c r="K1055" s="28"/>
      <c r="L1055" s="72"/>
      <c r="M1055" s="72"/>
      <c r="N1055" s="51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  <c r="AA1055" s="39"/>
    </row>
    <row r="1056" ht="15.75" customHeight="1">
      <c r="A1056" s="39"/>
      <c r="B1056" s="151"/>
      <c r="C1056" s="39"/>
      <c r="D1056" s="39"/>
      <c r="E1056" s="39"/>
      <c r="F1056" s="39"/>
      <c r="G1056" s="39"/>
      <c r="H1056" s="39"/>
      <c r="I1056" s="151"/>
      <c r="J1056" s="26"/>
      <c r="K1056" s="28"/>
      <c r="L1056" s="72"/>
      <c r="M1056" s="72"/>
      <c r="N1056" s="51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  <c r="AA1056" s="39"/>
    </row>
    <row r="1057" ht="15.75" customHeight="1">
      <c r="A1057" s="39"/>
      <c r="B1057" s="151"/>
      <c r="C1057" s="39"/>
      <c r="D1057" s="39"/>
      <c r="E1057" s="39"/>
      <c r="F1057" s="39"/>
      <c r="G1057" s="39"/>
      <c r="H1057" s="39"/>
      <c r="I1057" s="151"/>
      <c r="J1057" s="26"/>
      <c r="K1057" s="28"/>
      <c r="L1057" s="72"/>
      <c r="M1057" s="72"/>
      <c r="N1057" s="51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  <c r="AA1057" s="39"/>
    </row>
    <row r="1058" ht="15.75" customHeight="1">
      <c r="A1058" s="39"/>
      <c r="B1058" s="151"/>
      <c r="C1058" s="39"/>
      <c r="D1058" s="39"/>
      <c r="E1058" s="39"/>
      <c r="F1058" s="39"/>
      <c r="G1058" s="39"/>
      <c r="H1058" s="39"/>
      <c r="I1058" s="151"/>
      <c r="J1058" s="26"/>
      <c r="K1058" s="151"/>
      <c r="L1058" s="72"/>
      <c r="M1058" s="72"/>
      <c r="N1058" s="51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  <c r="AA1058" s="39"/>
    </row>
    <row r="1059" ht="15.75" customHeight="1">
      <c r="A1059" s="39"/>
      <c r="B1059" s="151"/>
      <c r="C1059" s="39"/>
      <c r="D1059" s="39"/>
      <c r="E1059" s="39"/>
      <c r="F1059" s="39"/>
      <c r="G1059" s="39"/>
      <c r="H1059" s="39"/>
      <c r="I1059" s="151"/>
      <c r="J1059" s="26"/>
      <c r="K1059" s="151"/>
      <c r="L1059" s="72"/>
      <c r="M1059" s="72"/>
      <c r="N1059" s="51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</row>
    <row r="1060" ht="15.75" customHeight="1">
      <c r="A1060" s="39"/>
      <c r="B1060" s="151"/>
      <c r="C1060" s="39"/>
      <c r="D1060" s="39"/>
      <c r="E1060" s="39"/>
      <c r="F1060" s="39"/>
      <c r="G1060" s="39"/>
      <c r="H1060" s="39"/>
      <c r="I1060" s="151"/>
      <c r="J1060" s="26"/>
      <c r="K1060" s="151"/>
      <c r="L1060" s="72"/>
      <c r="M1060" s="72"/>
      <c r="N1060" s="51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  <c r="AA1060" s="39"/>
    </row>
    <row r="1061" ht="15.75" customHeight="1">
      <c r="A1061" s="39"/>
      <c r="B1061" s="151"/>
      <c r="C1061" s="39"/>
      <c r="D1061" s="39"/>
      <c r="E1061" s="39"/>
      <c r="F1061" s="39"/>
      <c r="G1061" s="39"/>
      <c r="H1061" s="39"/>
      <c r="I1061" s="151"/>
      <c r="J1061" s="26"/>
      <c r="K1061" s="151"/>
      <c r="L1061" s="72"/>
      <c r="M1061" s="72"/>
      <c r="N1061" s="51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  <c r="AA1061" s="39"/>
    </row>
    <row r="1062" ht="15.75" customHeight="1">
      <c r="A1062" s="39"/>
      <c r="B1062" s="151"/>
      <c r="C1062" s="39"/>
      <c r="D1062" s="39"/>
      <c r="E1062" s="39"/>
      <c r="F1062" s="39"/>
      <c r="G1062" s="39"/>
      <c r="H1062" s="39"/>
      <c r="I1062" s="151"/>
      <c r="J1062" s="26"/>
      <c r="K1062" s="151"/>
      <c r="L1062" s="72"/>
      <c r="M1062" s="72"/>
      <c r="N1062" s="51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  <c r="AA1062" s="39"/>
    </row>
    <row r="1063" ht="15.75" customHeight="1">
      <c r="A1063" s="39"/>
      <c r="B1063" s="151"/>
      <c r="C1063" s="39"/>
      <c r="D1063" s="39"/>
      <c r="E1063" s="39"/>
      <c r="F1063" s="39"/>
      <c r="G1063" s="39"/>
      <c r="H1063" s="39"/>
      <c r="I1063" s="151"/>
      <c r="J1063" s="26"/>
      <c r="K1063" s="151"/>
      <c r="L1063" s="72"/>
      <c r="M1063" s="72"/>
      <c r="N1063" s="51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  <c r="AA1063" s="39"/>
    </row>
    <row r="1064" ht="15.75" customHeight="1">
      <c r="A1064" s="39"/>
      <c r="B1064" s="151"/>
      <c r="C1064" s="39"/>
      <c r="D1064" s="39"/>
      <c r="E1064" s="39"/>
      <c r="F1064" s="39"/>
      <c r="G1064" s="39"/>
      <c r="H1064" s="39"/>
      <c r="I1064" s="151"/>
      <c r="J1064" s="26"/>
      <c r="K1064" s="151"/>
      <c r="L1064" s="72"/>
      <c r="M1064" s="72"/>
      <c r="N1064" s="51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  <c r="AA1064" s="39"/>
    </row>
    <row r="1065" ht="15.75" customHeight="1">
      <c r="A1065" s="39"/>
      <c r="B1065" s="151"/>
      <c r="C1065" s="39"/>
      <c r="D1065" s="39"/>
      <c r="E1065" s="39"/>
      <c r="F1065" s="39"/>
      <c r="G1065" s="39"/>
      <c r="H1065" s="39"/>
      <c r="I1065" s="151"/>
      <c r="J1065" s="26"/>
      <c r="K1065" s="151"/>
      <c r="L1065" s="72"/>
      <c r="M1065" s="72"/>
      <c r="N1065" s="51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  <c r="AA1065" s="39"/>
    </row>
    <row r="1066" ht="15.75" customHeight="1">
      <c r="A1066" s="151"/>
      <c r="B1066" s="151"/>
      <c r="C1066" s="39"/>
      <c r="D1066" s="39"/>
      <c r="E1066" s="39"/>
      <c r="F1066" s="39"/>
      <c r="G1066" s="39"/>
      <c r="H1066" s="39"/>
      <c r="I1066" s="151"/>
      <c r="J1066" s="26"/>
      <c r="K1066" s="151"/>
      <c r="L1066" s="72"/>
      <c r="M1066" s="72"/>
      <c r="N1066" s="51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  <c r="AA1066" s="39"/>
    </row>
    <row r="1067" ht="15.75" customHeight="1">
      <c r="A1067" s="151"/>
      <c r="B1067" s="151"/>
      <c r="C1067" s="39"/>
      <c r="D1067" s="39"/>
      <c r="E1067" s="39"/>
      <c r="F1067" s="39"/>
      <c r="G1067" s="39"/>
      <c r="H1067" s="39"/>
      <c r="I1067" s="151"/>
      <c r="J1067" s="26"/>
      <c r="K1067" s="151"/>
      <c r="L1067" s="72"/>
      <c r="M1067" s="72"/>
      <c r="N1067" s="51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  <c r="AA1067" s="39"/>
    </row>
    <row r="1068" ht="15.75" customHeight="1">
      <c r="A1068" s="151"/>
      <c r="B1068" s="151"/>
      <c r="C1068" s="39"/>
      <c r="D1068" s="39"/>
      <c r="E1068" s="39"/>
      <c r="F1068" s="39"/>
      <c r="G1068" s="39"/>
      <c r="H1068" s="39"/>
      <c r="I1068" s="151"/>
      <c r="J1068" s="26"/>
      <c r="K1068" s="151"/>
      <c r="L1068" s="236"/>
      <c r="M1068" s="236"/>
      <c r="N1068" s="51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  <c r="AA1068" s="39"/>
    </row>
    <row r="1069" ht="15.75" customHeight="1">
      <c r="A1069" s="151"/>
      <c r="B1069" s="151"/>
      <c r="C1069" s="39"/>
      <c r="D1069" s="39"/>
      <c r="E1069" s="39"/>
      <c r="F1069" s="39"/>
      <c r="G1069" s="39"/>
      <c r="H1069" s="39"/>
      <c r="I1069" s="151"/>
      <c r="J1069" s="26"/>
      <c r="K1069" s="151"/>
      <c r="L1069" s="151"/>
      <c r="M1069" s="151"/>
      <c r="N1069" s="151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  <c r="AA1069" s="39"/>
    </row>
    <row r="1070" ht="15.75" customHeight="1">
      <c r="A1070" s="151"/>
      <c r="B1070" s="151"/>
      <c r="C1070" s="39"/>
      <c r="D1070" s="39"/>
      <c r="E1070" s="39"/>
      <c r="F1070" s="39"/>
      <c r="G1070" s="39"/>
      <c r="H1070" s="39"/>
      <c r="I1070" s="151"/>
      <c r="J1070" s="26"/>
      <c r="K1070" s="151"/>
      <c r="L1070" s="151"/>
      <c r="M1070" s="151"/>
      <c r="N1070" s="151"/>
      <c r="O1070" s="151"/>
      <c r="P1070" s="151"/>
      <c r="Q1070" s="151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/>
    </row>
    <row r="1071" ht="15.75" customHeight="1">
      <c r="A1071" s="151"/>
      <c r="B1071" s="151"/>
      <c r="C1071" s="39"/>
      <c r="D1071" s="39"/>
      <c r="E1071" s="39"/>
      <c r="F1071" s="39"/>
      <c r="G1071" s="39"/>
      <c r="H1071" s="39"/>
      <c r="I1071" s="151"/>
      <c r="J1071" s="26"/>
      <c r="K1071" s="151"/>
      <c r="L1071" s="151"/>
      <c r="M1071" s="151"/>
      <c r="N1071" s="151"/>
      <c r="O1071" s="151"/>
      <c r="P1071" s="151"/>
      <c r="Q1071" s="151"/>
      <c r="R1071" s="39"/>
      <c r="S1071" s="39"/>
      <c r="T1071" s="39"/>
      <c r="U1071" s="39"/>
      <c r="V1071" s="39"/>
      <c r="W1071" s="39"/>
      <c r="X1071" s="39"/>
      <c r="Y1071" s="39"/>
      <c r="Z1071" s="39"/>
      <c r="AA1071" s="39"/>
    </row>
    <row r="1072" ht="15.75" customHeight="1">
      <c r="A1072" s="151"/>
      <c r="B1072" s="151"/>
      <c r="C1072" s="39"/>
      <c r="D1072" s="39"/>
      <c r="E1072" s="39"/>
      <c r="F1072" s="39"/>
      <c r="G1072" s="39"/>
      <c r="H1072" s="39"/>
      <c r="I1072" s="151"/>
      <c r="J1072" s="26"/>
      <c r="K1072" s="151"/>
      <c r="L1072" s="151"/>
      <c r="M1072" s="151"/>
      <c r="N1072" s="151"/>
      <c r="O1072" s="151"/>
      <c r="P1072" s="151"/>
      <c r="Q1072" s="151"/>
      <c r="R1072" s="39"/>
      <c r="S1072" s="39"/>
      <c r="T1072" s="39"/>
      <c r="U1072" s="39"/>
      <c r="V1072" s="39"/>
      <c r="W1072" s="39"/>
      <c r="X1072" s="39"/>
      <c r="Y1072" s="39"/>
      <c r="Z1072" s="39"/>
      <c r="AA1072" s="39"/>
    </row>
    <row r="1073" ht="15.75" customHeight="1">
      <c r="A1073" s="151"/>
      <c r="B1073" s="151"/>
      <c r="C1073" s="39"/>
      <c r="D1073" s="39"/>
      <c r="E1073" s="39"/>
      <c r="F1073" s="39"/>
      <c r="G1073" s="39"/>
      <c r="H1073" s="39"/>
      <c r="I1073" s="151"/>
      <c r="J1073" s="26"/>
      <c r="K1073" s="151"/>
      <c r="L1073" s="151"/>
      <c r="M1073" s="151"/>
      <c r="N1073" s="151"/>
      <c r="O1073" s="151"/>
      <c r="P1073" s="151"/>
      <c r="Q1073" s="151"/>
      <c r="R1073" s="39"/>
      <c r="S1073" s="39"/>
      <c r="T1073" s="39"/>
      <c r="U1073" s="39"/>
      <c r="V1073" s="39"/>
      <c r="W1073" s="39"/>
      <c r="X1073" s="39"/>
      <c r="Y1073" s="39"/>
      <c r="Z1073" s="39"/>
      <c r="AA1073" s="39"/>
    </row>
    <row r="1074" ht="15.75" customHeight="1">
      <c r="A1074" s="151"/>
      <c r="B1074" s="151"/>
      <c r="C1074" s="39"/>
      <c r="D1074" s="39"/>
      <c r="E1074" s="39"/>
      <c r="F1074" s="39"/>
      <c r="G1074" s="39"/>
      <c r="H1074" s="39"/>
      <c r="I1074" s="151"/>
      <c r="J1074" s="26"/>
      <c r="K1074" s="151"/>
      <c r="L1074" s="151"/>
      <c r="M1074" s="151"/>
      <c r="N1074" s="151"/>
      <c r="O1074" s="151"/>
      <c r="P1074" s="151"/>
      <c r="Q1074" s="151"/>
      <c r="R1074" s="39"/>
      <c r="S1074" s="39"/>
      <c r="T1074" s="39"/>
      <c r="U1074" s="39"/>
      <c r="V1074" s="39"/>
      <c r="W1074" s="39"/>
      <c r="X1074" s="39"/>
      <c r="Y1074" s="39"/>
      <c r="Z1074" s="39"/>
      <c r="AA1074" s="39"/>
    </row>
    <row r="1075" ht="15.75" customHeight="1">
      <c r="A1075" s="151"/>
      <c r="B1075" s="151"/>
      <c r="C1075" s="39"/>
      <c r="D1075" s="151"/>
      <c r="E1075" s="151"/>
      <c r="F1075" s="151"/>
      <c r="G1075" s="151"/>
      <c r="H1075" s="151"/>
      <c r="I1075" s="151"/>
      <c r="J1075" s="26"/>
      <c r="K1075" s="151"/>
      <c r="L1075" s="151"/>
      <c r="M1075" s="151"/>
      <c r="N1075" s="151"/>
      <c r="O1075" s="151"/>
      <c r="P1075" s="151"/>
      <c r="Q1075" s="151"/>
      <c r="R1075" s="39"/>
      <c r="S1075" s="39"/>
      <c r="T1075" s="39"/>
      <c r="U1075" s="39"/>
      <c r="V1075" s="39"/>
      <c r="W1075" s="39"/>
      <c r="X1075" s="39"/>
      <c r="Y1075" s="39"/>
      <c r="Z1075" s="39"/>
      <c r="AA1075" s="39"/>
    </row>
    <row r="1076" ht="15.75" customHeight="1">
      <c r="A1076" s="151"/>
      <c r="B1076" s="151"/>
      <c r="C1076" s="39"/>
      <c r="D1076" s="151"/>
      <c r="E1076" s="151"/>
      <c r="F1076" s="151"/>
      <c r="G1076" s="151"/>
      <c r="H1076" s="151"/>
      <c r="I1076" s="151"/>
      <c r="J1076" s="26"/>
      <c r="K1076" s="151"/>
      <c r="L1076" s="151"/>
      <c r="M1076" s="151"/>
      <c r="N1076" s="151"/>
      <c r="O1076" s="151"/>
      <c r="P1076" s="151"/>
      <c r="Q1076" s="151"/>
      <c r="R1076" s="39"/>
      <c r="S1076" s="39"/>
      <c r="T1076" s="39"/>
      <c r="U1076" s="39"/>
      <c r="V1076" s="39"/>
      <c r="W1076" s="39"/>
      <c r="X1076" s="39"/>
      <c r="Y1076" s="39"/>
      <c r="Z1076" s="39"/>
      <c r="AA1076" s="39"/>
    </row>
    <row r="1077" ht="15.75" customHeight="1">
      <c r="A1077" s="151"/>
      <c r="B1077" s="151"/>
      <c r="C1077" s="39"/>
      <c r="I1077" s="151"/>
      <c r="J1077" s="26"/>
      <c r="K1077" s="151"/>
      <c r="L1077" s="151"/>
      <c r="M1077" s="151"/>
      <c r="N1077" s="151"/>
      <c r="O1077" s="151"/>
      <c r="P1077" s="151"/>
      <c r="Q1077" s="151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</row>
    <row r="1078" ht="15.75" customHeight="1">
      <c r="A1078" s="151"/>
      <c r="B1078" s="151"/>
      <c r="C1078" s="39"/>
      <c r="J1078" s="26"/>
      <c r="K1078" s="151"/>
      <c r="L1078" s="151"/>
      <c r="M1078" s="151"/>
      <c r="N1078" s="151"/>
      <c r="O1078" s="151"/>
      <c r="P1078" s="151"/>
      <c r="Q1078" s="151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</row>
    <row r="1079" ht="15.75" customHeight="1">
      <c r="A1079" s="151"/>
      <c r="C1079" s="39"/>
      <c r="J1079" s="26"/>
      <c r="K1079" s="151"/>
      <c r="L1079" s="151"/>
      <c r="M1079" s="151"/>
      <c r="N1079" s="151"/>
      <c r="O1079" s="151"/>
      <c r="P1079" s="151"/>
      <c r="Q1079" s="151"/>
      <c r="R1079" s="39"/>
      <c r="S1079" s="39"/>
      <c r="T1079" s="39"/>
      <c r="U1079" s="39"/>
      <c r="V1079" s="39"/>
      <c r="W1079" s="39"/>
      <c r="X1079" s="39"/>
      <c r="Y1079" s="39"/>
      <c r="Z1079" s="39"/>
      <c r="AA1079" s="39"/>
    </row>
    <row r="1080" ht="15.75" customHeight="1">
      <c r="A1080" s="151"/>
      <c r="C1080" s="39"/>
      <c r="J1080" s="26"/>
      <c r="K1080" s="151"/>
      <c r="L1080" s="151"/>
      <c r="M1080" s="151"/>
      <c r="N1080" s="151"/>
      <c r="O1080" s="151"/>
      <c r="P1080" s="151"/>
      <c r="Q1080" s="151"/>
      <c r="R1080" s="39"/>
      <c r="S1080" s="39"/>
      <c r="T1080" s="39"/>
      <c r="U1080" s="39"/>
      <c r="V1080" s="39"/>
      <c r="W1080" s="39"/>
      <c r="X1080" s="39"/>
      <c r="Y1080" s="39"/>
      <c r="Z1080" s="39"/>
      <c r="AA1080" s="39"/>
    </row>
    <row r="1081" ht="15.75" customHeight="1">
      <c r="A1081" s="151"/>
      <c r="C1081" s="39"/>
      <c r="J1081" s="26"/>
      <c r="K1081" s="151"/>
      <c r="L1081" s="151"/>
      <c r="M1081" s="151"/>
      <c r="N1081" s="151"/>
      <c r="O1081" s="151"/>
      <c r="P1081" s="151"/>
      <c r="Q1081" s="151"/>
      <c r="R1081" s="39"/>
      <c r="S1081" s="39"/>
      <c r="T1081" s="39"/>
      <c r="U1081" s="39"/>
      <c r="V1081" s="39"/>
      <c r="W1081" s="39"/>
      <c r="X1081" s="39"/>
      <c r="Y1081" s="39"/>
      <c r="Z1081" s="39"/>
      <c r="AA1081" s="39"/>
    </row>
    <row r="1082" ht="15.75" customHeight="1">
      <c r="A1082" s="151"/>
      <c r="C1082" s="39"/>
      <c r="J1082" s="26"/>
      <c r="K1082" s="151"/>
      <c r="L1082" s="151"/>
      <c r="M1082" s="151"/>
      <c r="N1082" s="151"/>
      <c r="O1082" s="151"/>
      <c r="P1082" s="151"/>
      <c r="Q1082" s="151"/>
      <c r="R1082" s="39"/>
      <c r="S1082" s="39"/>
      <c r="T1082" s="39"/>
      <c r="U1082" s="39"/>
      <c r="V1082" s="39"/>
      <c r="W1082" s="39"/>
      <c r="X1082" s="39"/>
      <c r="Y1082" s="39"/>
      <c r="Z1082" s="39"/>
      <c r="AA1082" s="39"/>
    </row>
    <row r="1083" ht="15.75" customHeight="1">
      <c r="A1083" s="151"/>
      <c r="C1083" s="39"/>
      <c r="J1083" s="26"/>
      <c r="K1083" s="151"/>
      <c r="L1083" s="151"/>
      <c r="M1083" s="151"/>
      <c r="N1083" s="151"/>
      <c r="O1083" s="151"/>
      <c r="P1083" s="151"/>
      <c r="Q1083" s="151"/>
      <c r="R1083" s="39"/>
      <c r="S1083" s="39"/>
      <c r="T1083" s="39"/>
      <c r="U1083" s="39"/>
      <c r="V1083" s="39"/>
      <c r="W1083" s="39"/>
      <c r="X1083" s="39"/>
      <c r="Y1083" s="39"/>
      <c r="Z1083" s="39"/>
      <c r="AA1083" s="39"/>
    </row>
    <row r="1084" ht="15.75" customHeight="1">
      <c r="A1084" s="151"/>
      <c r="C1084" s="39"/>
      <c r="J1084" s="26"/>
      <c r="K1084" s="151"/>
      <c r="L1084" s="151"/>
      <c r="M1084" s="151"/>
      <c r="N1084" s="151"/>
      <c r="O1084" s="151"/>
      <c r="P1084" s="151"/>
      <c r="Q1084" s="151"/>
      <c r="R1084" s="39"/>
      <c r="S1084" s="39"/>
      <c r="T1084" s="39"/>
      <c r="U1084" s="39"/>
      <c r="V1084" s="39"/>
      <c r="W1084" s="39"/>
      <c r="X1084" s="39"/>
      <c r="Y1084" s="39"/>
      <c r="Z1084" s="39"/>
      <c r="AA1084" s="39"/>
    </row>
    <row r="1085" ht="15.75" customHeight="1">
      <c r="A1085" s="151"/>
      <c r="C1085" s="39"/>
      <c r="J1085" s="26"/>
      <c r="K1085" s="151"/>
      <c r="L1085" s="151"/>
      <c r="M1085" s="151"/>
      <c r="N1085" s="151"/>
      <c r="O1085" s="151"/>
      <c r="P1085" s="151"/>
      <c r="Q1085" s="151"/>
      <c r="R1085" s="39"/>
      <c r="S1085" s="39"/>
      <c r="T1085" s="39"/>
      <c r="U1085" s="39"/>
      <c r="V1085" s="39"/>
      <c r="W1085" s="39"/>
      <c r="X1085" s="39"/>
      <c r="Y1085" s="39"/>
      <c r="Z1085" s="39"/>
      <c r="AA1085" s="39"/>
    </row>
    <row r="1086" ht="15.75" customHeight="1">
      <c r="A1086" s="151"/>
      <c r="C1086" s="39"/>
      <c r="J1086" s="26"/>
      <c r="K1086" s="151"/>
      <c r="L1086" s="151"/>
      <c r="M1086" s="151"/>
      <c r="N1086" s="151"/>
      <c r="O1086" s="151"/>
      <c r="P1086" s="151"/>
      <c r="Q1086" s="151"/>
      <c r="R1086" s="39"/>
      <c r="S1086" s="39"/>
      <c r="T1086" s="39"/>
      <c r="U1086" s="39"/>
      <c r="V1086" s="39"/>
      <c r="W1086" s="39"/>
      <c r="X1086" s="39"/>
      <c r="Y1086" s="39"/>
      <c r="Z1086" s="39"/>
      <c r="AA1086" s="39"/>
    </row>
    <row r="1087" ht="15.75" customHeight="1">
      <c r="A1087" s="151"/>
      <c r="C1087" s="39"/>
      <c r="J1087" s="26"/>
      <c r="K1087" s="151"/>
      <c r="L1087" s="151"/>
      <c r="M1087" s="151"/>
      <c r="N1087" s="151"/>
      <c r="O1087" s="151"/>
      <c r="P1087" s="151"/>
      <c r="Q1087" s="151"/>
      <c r="R1087" s="39"/>
      <c r="S1087" s="39"/>
      <c r="T1087" s="39"/>
      <c r="U1087" s="39"/>
      <c r="V1087" s="39"/>
      <c r="W1087" s="39"/>
      <c r="X1087" s="39"/>
      <c r="Y1087" s="39"/>
      <c r="Z1087" s="39"/>
      <c r="AA1087" s="39"/>
    </row>
    <row r="1088" ht="15.75" customHeight="1">
      <c r="A1088" s="151"/>
      <c r="C1088" s="39"/>
      <c r="J1088" s="26"/>
      <c r="K1088" s="151"/>
      <c r="L1088" s="151"/>
      <c r="M1088" s="151"/>
      <c r="N1088" s="151"/>
      <c r="O1088" s="151"/>
      <c r="P1088" s="151"/>
      <c r="Q1088" s="151"/>
      <c r="R1088" s="39"/>
      <c r="S1088" s="39"/>
      <c r="T1088" s="39"/>
      <c r="U1088" s="39"/>
      <c r="V1088" s="39"/>
      <c r="W1088" s="39"/>
      <c r="X1088" s="39"/>
      <c r="Y1088" s="39"/>
      <c r="Z1088" s="39"/>
      <c r="AA1088" s="39"/>
    </row>
    <row r="1089" ht="15.75" customHeight="1">
      <c r="A1089" s="151"/>
      <c r="C1089" s="39"/>
      <c r="J1089" s="26"/>
      <c r="K1089" s="151"/>
      <c r="L1089" s="151"/>
      <c r="M1089" s="151"/>
      <c r="N1089" s="151"/>
      <c r="O1089" s="151"/>
      <c r="P1089" s="151"/>
      <c r="Q1089" s="151"/>
      <c r="R1089" s="39"/>
      <c r="S1089" s="39"/>
      <c r="T1089" s="39"/>
      <c r="U1089" s="39"/>
      <c r="V1089" s="39"/>
      <c r="W1089" s="39"/>
      <c r="X1089" s="39"/>
      <c r="Y1089" s="39"/>
      <c r="Z1089" s="39"/>
      <c r="AA1089" s="39"/>
    </row>
    <row r="1090" ht="15.75" customHeight="1">
      <c r="A1090" s="151"/>
      <c r="C1090" s="39"/>
      <c r="J1090" s="26"/>
      <c r="K1090" s="151"/>
      <c r="L1090" s="151"/>
      <c r="M1090" s="151"/>
      <c r="N1090" s="151"/>
      <c r="O1090" s="151"/>
      <c r="P1090" s="151"/>
      <c r="Q1090" s="151"/>
      <c r="R1090" s="39"/>
      <c r="S1090" s="39"/>
      <c r="T1090" s="39"/>
      <c r="U1090" s="39"/>
      <c r="V1090" s="39"/>
      <c r="W1090" s="39"/>
      <c r="X1090" s="39"/>
      <c r="Y1090" s="39"/>
      <c r="Z1090" s="39"/>
      <c r="AA1090" s="39"/>
    </row>
    <row r="1091" ht="15.75" customHeight="1">
      <c r="A1091" s="151"/>
      <c r="C1091" s="39"/>
      <c r="J1091" s="26"/>
      <c r="K1091" s="151"/>
      <c r="L1091" s="151"/>
      <c r="M1091" s="151"/>
      <c r="N1091" s="151"/>
      <c r="O1091" s="151"/>
      <c r="P1091" s="151"/>
      <c r="Q1091" s="151"/>
      <c r="R1091" s="39"/>
      <c r="S1091" s="39"/>
      <c r="T1091" s="39"/>
      <c r="U1091" s="39"/>
      <c r="V1091" s="39"/>
      <c r="W1091" s="39"/>
      <c r="X1091" s="39"/>
      <c r="Y1091" s="39"/>
      <c r="Z1091" s="39"/>
      <c r="AA1091" s="39"/>
    </row>
    <row r="1092" ht="15.75" customHeight="1">
      <c r="A1092" s="151"/>
      <c r="C1092" s="39"/>
      <c r="J1092" s="26"/>
      <c r="K1092" s="151"/>
      <c r="L1092" s="151"/>
      <c r="M1092" s="151"/>
      <c r="N1092" s="151"/>
      <c r="O1092" s="151"/>
      <c r="P1092" s="151"/>
      <c r="Q1092" s="151"/>
      <c r="R1092" s="39"/>
      <c r="S1092" s="39"/>
      <c r="T1092" s="39"/>
      <c r="U1092" s="39"/>
      <c r="V1092" s="39"/>
      <c r="W1092" s="39"/>
      <c r="X1092" s="39"/>
      <c r="Y1092" s="39"/>
      <c r="Z1092" s="39"/>
      <c r="AA1092" s="39"/>
    </row>
    <row r="1093" ht="15.75" customHeight="1">
      <c r="A1093" s="151"/>
      <c r="C1093" s="39"/>
      <c r="J1093" s="26"/>
      <c r="K1093" s="151"/>
      <c r="L1093" s="151"/>
      <c r="M1093" s="151"/>
      <c r="N1093" s="151"/>
      <c r="O1093" s="151"/>
      <c r="P1093" s="151"/>
      <c r="Q1093" s="151"/>
      <c r="R1093" s="39"/>
      <c r="S1093" s="39"/>
      <c r="T1093" s="39"/>
      <c r="U1093" s="39"/>
      <c r="V1093" s="39"/>
      <c r="W1093" s="39"/>
      <c r="X1093" s="39"/>
      <c r="Y1093" s="39"/>
      <c r="Z1093" s="39"/>
      <c r="AA1093" s="39"/>
    </row>
    <row r="1094" ht="15.75" customHeight="1">
      <c r="A1094" s="151"/>
      <c r="C1094" s="39"/>
      <c r="J1094" s="26"/>
      <c r="K1094" s="151"/>
      <c r="L1094" s="151"/>
      <c r="M1094" s="151"/>
      <c r="N1094" s="151"/>
      <c r="O1094" s="151"/>
      <c r="P1094" s="151"/>
      <c r="Q1094" s="151"/>
      <c r="R1094" s="39"/>
      <c r="S1094" s="39"/>
      <c r="T1094" s="39"/>
      <c r="U1094" s="39"/>
      <c r="V1094" s="39"/>
      <c r="W1094" s="39"/>
      <c r="X1094" s="39"/>
      <c r="Y1094" s="39"/>
      <c r="Z1094" s="39"/>
      <c r="AA1094" s="39"/>
    </row>
    <row r="1095" ht="15.75" customHeight="1">
      <c r="A1095" s="151"/>
      <c r="C1095" s="39"/>
      <c r="J1095" s="26"/>
      <c r="K1095" s="151"/>
      <c r="L1095" s="151"/>
      <c r="M1095" s="151"/>
      <c r="N1095" s="151"/>
      <c r="O1095" s="151"/>
      <c r="P1095" s="151"/>
      <c r="Q1095" s="151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</row>
    <row r="1096" ht="15.75" customHeight="1">
      <c r="C1096" s="39"/>
      <c r="J1096" s="26"/>
      <c r="K1096" s="151"/>
      <c r="L1096" s="151"/>
      <c r="M1096" s="151"/>
      <c r="N1096" s="151"/>
      <c r="O1096" s="151"/>
      <c r="P1096" s="151"/>
      <c r="Q1096" s="151"/>
      <c r="R1096" s="39"/>
      <c r="S1096" s="39"/>
      <c r="T1096" s="39"/>
      <c r="U1096" s="39"/>
      <c r="V1096" s="39"/>
      <c r="W1096" s="39"/>
      <c r="X1096" s="39"/>
      <c r="Y1096" s="39"/>
      <c r="Z1096" s="39"/>
      <c r="AA1096" s="39"/>
    </row>
    <row r="1097" ht="15.75" customHeight="1">
      <c r="C1097" s="39"/>
      <c r="J1097" s="26"/>
      <c r="K1097" s="151"/>
      <c r="L1097" s="151"/>
      <c r="M1097" s="151"/>
      <c r="N1097" s="151"/>
      <c r="O1097" s="151"/>
      <c r="P1097" s="151"/>
      <c r="Q1097" s="151"/>
      <c r="R1097" s="39"/>
      <c r="S1097" s="39"/>
      <c r="T1097" s="39"/>
      <c r="U1097" s="39"/>
      <c r="V1097" s="39"/>
      <c r="W1097" s="39"/>
      <c r="X1097" s="39"/>
      <c r="Y1097" s="39"/>
      <c r="Z1097" s="39"/>
      <c r="AA1097" s="39"/>
    </row>
    <row r="1098" ht="15.75" customHeight="1">
      <c r="C1098" s="39"/>
      <c r="J1098" s="26"/>
      <c r="K1098" s="151"/>
      <c r="L1098" s="151"/>
      <c r="M1098" s="151"/>
      <c r="N1098" s="151"/>
      <c r="O1098" s="151"/>
      <c r="P1098" s="151"/>
      <c r="Q1098" s="151"/>
      <c r="R1098" s="39"/>
      <c r="S1098" s="39"/>
      <c r="T1098" s="39"/>
      <c r="U1098" s="39"/>
      <c r="V1098" s="39"/>
      <c r="W1098" s="39"/>
      <c r="X1098" s="39"/>
      <c r="Y1098" s="39"/>
      <c r="Z1098" s="39"/>
      <c r="AA1098" s="39"/>
    </row>
    <row r="1099" ht="15.75" customHeight="1">
      <c r="C1099" s="39"/>
      <c r="J1099" s="26"/>
      <c r="K1099" s="151"/>
      <c r="L1099" s="151"/>
      <c r="M1099" s="151"/>
      <c r="N1099" s="151"/>
      <c r="O1099" s="151"/>
      <c r="P1099" s="151"/>
      <c r="Q1099" s="151"/>
      <c r="R1099" s="39"/>
      <c r="S1099" s="39"/>
      <c r="T1099" s="39"/>
      <c r="U1099" s="39"/>
      <c r="V1099" s="39"/>
      <c r="W1099" s="39"/>
      <c r="X1099" s="39"/>
      <c r="Y1099" s="39"/>
      <c r="Z1099" s="39"/>
      <c r="AA1099" s="39"/>
    </row>
    <row r="1100" ht="15.75" customHeight="1">
      <c r="C1100" s="39"/>
      <c r="J1100" s="26"/>
      <c r="K1100" s="151"/>
      <c r="L1100" s="151"/>
      <c r="M1100" s="151"/>
      <c r="N1100" s="151"/>
      <c r="O1100" s="151"/>
      <c r="P1100" s="151"/>
      <c r="Q1100" s="151"/>
      <c r="R1100" s="39"/>
      <c r="S1100" s="39"/>
      <c r="T1100" s="39"/>
      <c r="U1100" s="39"/>
      <c r="V1100" s="39"/>
      <c r="W1100" s="39"/>
      <c r="X1100" s="39"/>
      <c r="Y1100" s="39"/>
      <c r="Z1100" s="39"/>
      <c r="AA1100" s="39"/>
    </row>
    <row r="1101" ht="15.75" customHeight="1">
      <c r="C1101" s="39"/>
      <c r="J1101" s="26"/>
      <c r="K1101" s="151"/>
      <c r="L1101" s="151"/>
      <c r="M1101" s="151"/>
      <c r="N1101" s="151"/>
      <c r="O1101" s="151"/>
      <c r="P1101" s="151"/>
      <c r="Q1101" s="151"/>
      <c r="R1101" s="39"/>
      <c r="S1101" s="39"/>
      <c r="T1101" s="39"/>
      <c r="U1101" s="39"/>
      <c r="V1101" s="39"/>
      <c r="W1101" s="39"/>
      <c r="X1101" s="39"/>
      <c r="Y1101" s="39"/>
      <c r="Z1101" s="39"/>
      <c r="AA1101" s="39"/>
    </row>
    <row r="1102" ht="15.75" customHeight="1">
      <c r="C1102" s="39"/>
      <c r="J1102" s="26"/>
      <c r="K1102" s="151"/>
      <c r="L1102" s="151"/>
      <c r="M1102" s="151"/>
      <c r="N1102" s="151"/>
      <c r="O1102" s="151"/>
      <c r="P1102" s="151"/>
      <c r="Q1102" s="151"/>
      <c r="R1102" s="39"/>
      <c r="S1102" s="39"/>
      <c r="T1102" s="39"/>
      <c r="U1102" s="39"/>
      <c r="V1102" s="39"/>
      <c r="W1102" s="39"/>
      <c r="X1102" s="39"/>
      <c r="Y1102" s="39"/>
      <c r="Z1102" s="39"/>
      <c r="AA1102" s="39"/>
    </row>
    <row r="1103" ht="15.75" customHeight="1">
      <c r="C1103" s="39"/>
      <c r="J1103" s="26"/>
      <c r="K1103" s="151"/>
      <c r="L1103" s="151"/>
      <c r="M1103" s="151"/>
      <c r="N1103" s="151"/>
      <c r="O1103" s="151"/>
      <c r="P1103" s="151"/>
      <c r="Q1103" s="151"/>
      <c r="R1103" s="39"/>
      <c r="S1103" s="39"/>
      <c r="T1103" s="39"/>
      <c r="U1103" s="39"/>
      <c r="V1103" s="39"/>
      <c r="W1103" s="39"/>
      <c r="X1103" s="39"/>
      <c r="Y1103" s="39"/>
      <c r="Z1103" s="39"/>
      <c r="AA1103" s="39"/>
    </row>
    <row r="1104" ht="15.75" customHeight="1">
      <c r="C1104" s="39"/>
      <c r="J1104" s="26"/>
      <c r="K1104" s="151"/>
      <c r="L1104" s="151"/>
      <c r="M1104" s="151"/>
      <c r="N1104" s="151"/>
      <c r="O1104" s="151"/>
      <c r="P1104" s="151"/>
      <c r="Q1104" s="151"/>
      <c r="R1104" s="39"/>
      <c r="S1104" s="39"/>
      <c r="T1104" s="39"/>
      <c r="U1104" s="39"/>
      <c r="V1104" s="39"/>
      <c r="W1104" s="39"/>
      <c r="X1104" s="39"/>
      <c r="Y1104" s="39"/>
      <c r="Z1104" s="39"/>
      <c r="AA1104" s="39"/>
    </row>
    <row r="1105" ht="15.75" customHeight="1">
      <c r="C1105" s="39"/>
      <c r="J1105" s="26"/>
      <c r="K1105" s="151"/>
      <c r="L1105" s="151"/>
      <c r="M1105" s="151"/>
      <c r="N1105" s="151"/>
      <c r="O1105" s="151"/>
      <c r="P1105" s="151"/>
      <c r="Q1105" s="151"/>
      <c r="R1105" s="39"/>
      <c r="S1105" s="39"/>
      <c r="T1105" s="39"/>
      <c r="U1105" s="39"/>
      <c r="V1105" s="39"/>
      <c r="W1105" s="39"/>
      <c r="X1105" s="39"/>
      <c r="Y1105" s="39"/>
      <c r="Z1105" s="39"/>
      <c r="AA1105" s="39"/>
    </row>
    <row r="1106" ht="15.75" customHeight="1">
      <c r="C1106" s="39"/>
      <c r="J1106" s="26"/>
      <c r="K1106" s="151"/>
      <c r="L1106" s="151"/>
      <c r="M1106" s="151"/>
      <c r="N1106" s="151"/>
      <c r="O1106" s="151"/>
      <c r="P1106" s="151"/>
      <c r="Q1106" s="151"/>
      <c r="R1106" s="39"/>
      <c r="S1106" s="39"/>
      <c r="T1106" s="39"/>
      <c r="U1106" s="39"/>
      <c r="V1106" s="39"/>
      <c r="W1106" s="39"/>
      <c r="X1106" s="39"/>
      <c r="Y1106" s="39"/>
      <c r="Z1106" s="39"/>
      <c r="AA1106" s="39"/>
    </row>
    <row r="1107" ht="15.75" customHeight="1">
      <c r="C1107" s="39"/>
      <c r="J1107" s="26"/>
      <c r="K1107" s="151"/>
      <c r="L1107" s="151"/>
      <c r="M1107" s="151"/>
      <c r="N1107" s="151"/>
      <c r="O1107" s="151"/>
      <c r="P1107" s="151"/>
      <c r="Q1107" s="151"/>
      <c r="R1107" s="39"/>
      <c r="S1107" s="39"/>
      <c r="T1107" s="39"/>
      <c r="U1107" s="39"/>
      <c r="V1107" s="39"/>
      <c r="W1107" s="39"/>
      <c r="X1107" s="39"/>
      <c r="Y1107" s="39"/>
      <c r="Z1107" s="39"/>
      <c r="AA1107" s="39"/>
    </row>
    <row r="1108" ht="15.75" customHeight="1">
      <c r="C1108" s="39"/>
      <c r="J1108" s="26"/>
      <c r="K1108" s="151"/>
      <c r="L1108" s="151"/>
      <c r="M1108" s="151"/>
      <c r="N1108" s="151"/>
      <c r="O1108" s="151"/>
      <c r="P1108" s="151"/>
      <c r="Q1108" s="151"/>
      <c r="R1108" s="39"/>
      <c r="S1108" s="39"/>
      <c r="T1108" s="39"/>
      <c r="U1108" s="39"/>
      <c r="V1108" s="39"/>
      <c r="W1108" s="39"/>
      <c r="X1108" s="39"/>
      <c r="Y1108" s="39"/>
      <c r="Z1108" s="39"/>
      <c r="AA1108" s="39"/>
    </row>
    <row r="1109" ht="15.75" customHeight="1">
      <c r="C1109" s="39"/>
      <c r="J1109" s="26"/>
      <c r="K1109" s="151"/>
      <c r="L1109" s="151"/>
      <c r="M1109" s="151"/>
      <c r="N1109" s="151"/>
      <c r="O1109" s="151"/>
      <c r="P1109" s="151"/>
      <c r="Q1109" s="151"/>
      <c r="R1109" s="39"/>
      <c r="S1109" s="39"/>
      <c r="T1109" s="39"/>
      <c r="U1109" s="39"/>
      <c r="V1109" s="39"/>
      <c r="W1109" s="39"/>
      <c r="X1109" s="39"/>
      <c r="Y1109" s="39"/>
      <c r="Z1109" s="39"/>
      <c r="AA1109" s="39"/>
    </row>
    <row r="1110" ht="15.75" customHeight="1">
      <c r="C1110" s="39"/>
      <c r="J1110" s="26"/>
      <c r="K1110" s="151"/>
      <c r="L1110" s="151"/>
      <c r="M1110" s="151"/>
      <c r="N1110" s="151"/>
      <c r="O1110" s="151"/>
      <c r="P1110" s="151"/>
      <c r="Q1110" s="151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/>
    </row>
    <row r="1111" ht="15.75" customHeight="1">
      <c r="C1111" s="39"/>
      <c r="J1111" s="26"/>
      <c r="K1111" s="151"/>
      <c r="L1111" s="151"/>
      <c r="M1111" s="151"/>
      <c r="N1111" s="151"/>
      <c r="O1111" s="151"/>
      <c r="P1111" s="151"/>
      <c r="Q1111" s="151"/>
      <c r="R1111" s="39"/>
      <c r="S1111" s="39"/>
      <c r="T1111" s="39"/>
      <c r="U1111" s="39"/>
      <c r="V1111" s="39"/>
      <c r="W1111" s="39"/>
      <c r="X1111" s="39"/>
      <c r="Y1111" s="39"/>
      <c r="Z1111" s="39"/>
      <c r="AA1111" s="39"/>
    </row>
    <row r="1112" ht="15.75" customHeight="1">
      <c r="C1112" s="39"/>
      <c r="J1112" s="26"/>
      <c r="K1112" s="151"/>
      <c r="L1112" s="151"/>
      <c r="M1112" s="151"/>
      <c r="N1112" s="151"/>
      <c r="O1112" s="151"/>
      <c r="P1112" s="151"/>
      <c r="Q1112" s="151"/>
      <c r="R1112" s="39"/>
      <c r="S1112" s="39"/>
      <c r="T1112" s="39"/>
      <c r="U1112" s="39"/>
      <c r="V1112" s="39"/>
      <c r="W1112" s="39"/>
      <c r="X1112" s="39"/>
      <c r="Y1112" s="39"/>
      <c r="Z1112" s="39"/>
      <c r="AA1112" s="39"/>
    </row>
    <row r="1113" ht="15.75" customHeight="1">
      <c r="C1113" s="39"/>
      <c r="J1113" s="26"/>
      <c r="K1113" s="151"/>
      <c r="L1113" s="151"/>
      <c r="M1113" s="151"/>
      <c r="N1113" s="151"/>
      <c r="O1113" s="151"/>
      <c r="P1113" s="151"/>
      <c r="Q1113" s="151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</row>
    <row r="1114" ht="15.75" customHeight="1">
      <c r="C1114" s="39"/>
      <c r="J1114" s="26"/>
      <c r="K1114" s="151"/>
      <c r="L1114" s="151"/>
      <c r="M1114" s="151"/>
      <c r="N1114" s="151"/>
      <c r="O1114" s="151"/>
      <c r="P1114" s="151"/>
      <c r="Q1114" s="151"/>
      <c r="R1114" s="39"/>
      <c r="S1114" s="39"/>
      <c r="T1114" s="39"/>
      <c r="U1114" s="39"/>
      <c r="V1114" s="39"/>
      <c r="W1114" s="39"/>
      <c r="X1114" s="39"/>
      <c r="Y1114" s="39"/>
      <c r="Z1114" s="39"/>
      <c r="AA1114" s="39"/>
    </row>
    <row r="1115" ht="15.75" customHeight="1">
      <c r="C1115" s="39"/>
      <c r="J1115" s="26"/>
      <c r="K1115" s="151"/>
      <c r="L1115" s="151"/>
      <c r="M1115" s="151"/>
      <c r="N1115" s="151"/>
      <c r="O1115" s="151"/>
      <c r="P1115" s="151"/>
      <c r="Q1115" s="151"/>
      <c r="R1115" s="39"/>
      <c r="S1115" s="39"/>
      <c r="T1115" s="39"/>
      <c r="U1115" s="39"/>
      <c r="V1115" s="39"/>
      <c r="W1115" s="39"/>
      <c r="X1115" s="39"/>
      <c r="Y1115" s="39"/>
      <c r="Z1115" s="39"/>
      <c r="AA1115" s="39"/>
    </row>
    <row r="1116" ht="15.75" customHeight="1">
      <c r="C1116" s="39"/>
      <c r="J1116" s="26"/>
      <c r="K1116" s="151"/>
      <c r="L1116" s="151"/>
      <c r="M1116" s="151"/>
      <c r="N1116" s="151"/>
      <c r="O1116" s="151"/>
      <c r="P1116" s="151"/>
      <c r="Q1116" s="151"/>
      <c r="R1116" s="39"/>
      <c r="S1116" s="39"/>
      <c r="T1116" s="39"/>
      <c r="U1116" s="39"/>
      <c r="V1116" s="39"/>
      <c r="W1116" s="39"/>
      <c r="X1116" s="39"/>
      <c r="Y1116" s="39"/>
      <c r="Z1116" s="39"/>
      <c r="AA1116" s="39"/>
    </row>
    <row r="1117" ht="15.75" customHeight="1">
      <c r="C1117" s="39"/>
      <c r="J1117" s="26"/>
      <c r="K1117" s="151"/>
      <c r="L1117" s="151"/>
      <c r="M1117" s="151"/>
      <c r="N1117" s="151"/>
      <c r="O1117" s="151"/>
      <c r="P1117" s="151"/>
      <c r="Q1117" s="151"/>
      <c r="R1117" s="39"/>
      <c r="S1117" s="39"/>
      <c r="T1117" s="39"/>
      <c r="U1117" s="39"/>
      <c r="V1117" s="39"/>
      <c r="W1117" s="39"/>
      <c r="X1117" s="39"/>
      <c r="Y1117" s="39"/>
      <c r="Z1117" s="39"/>
      <c r="AA1117" s="39"/>
    </row>
    <row r="1118" ht="15.75" customHeight="1">
      <c r="C1118" s="39"/>
      <c r="J1118" s="26"/>
      <c r="K1118" s="151"/>
      <c r="L1118" s="151"/>
      <c r="M1118" s="151"/>
      <c r="N1118" s="151"/>
      <c r="O1118" s="151"/>
      <c r="P1118" s="151"/>
      <c r="Q1118" s="151"/>
      <c r="R1118" s="39"/>
      <c r="S1118" s="39"/>
      <c r="T1118" s="39"/>
      <c r="U1118" s="39"/>
      <c r="V1118" s="39"/>
      <c r="W1118" s="39"/>
      <c r="X1118" s="39"/>
      <c r="Y1118" s="39"/>
      <c r="Z1118" s="39"/>
      <c r="AA1118" s="39"/>
    </row>
    <row r="1119" ht="15.75" customHeight="1">
      <c r="C1119" s="39"/>
      <c r="J1119" s="26"/>
      <c r="K1119" s="151"/>
      <c r="L1119" s="151"/>
      <c r="M1119" s="151"/>
      <c r="N1119" s="151"/>
      <c r="O1119" s="151"/>
      <c r="P1119" s="151"/>
      <c r="Q1119" s="151"/>
      <c r="R1119" s="39"/>
      <c r="S1119" s="39"/>
      <c r="T1119" s="39"/>
      <c r="U1119" s="39"/>
      <c r="V1119" s="39"/>
      <c r="W1119" s="39"/>
      <c r="X1119" s="39"/>
      <c r="Y1119" s="39"/>
      <c r="Z1119" s="39"/>
      <c r="AA1119" s="39"/>
    </row>
    <row r="1120" ht="15.75" customHeight="1">
      <c r="C1120" s="39"/>
      <c r="J1120" s="26"/>
      <c r="K1120" s="151"/>
      <c r="L1120" s="151"/>
      <c r="M1120" s="151"/>
      <c r="N1120" s="151"/>
      <c r="O1120" s="151"/>
      <c r="P1120" s="151"/>
      <c r="Q1120" s="151"/>
      <c r="R1120" s="39"/>
      <c r="S1120" s="39"/>
      <c r="T1120" s="39"/>
      <c r="U1120" s="39"/>
      <c r="V1120" s="39"/>
      <c r="W1120" s="39"/>
      <c r="X1120" s="39"/>
      <c r="Y1120" s="39"/>
      <c r="Z1120" s="39"/>
      <c r="AA1120" s="39"/>
    </row>
    <row r="1121" ht="15.75" customHeight="1">
      <c r="C1121" s="39"/>
      <c r="J1121" s="26"/>
      <c r="K1121" s="151"/>
      <c r="L1121" s="151"/>
      <c r="M1121" s="151"/>
      <c r="N1121" s="151"/>
      <c r="O1121" s="151"/>
      <c r="P1121" s="151"/>
      <c r="Q1121" s="151"/>
      <c r="R1121" s="39"/>
      <c r="S1121" s="39"/>
      <c r="T1121" s="39"/>
      <c r="U1121" s="39"/>
      <c r="V1121" s="39"/>
      <c r="W1121" s="39"/>
      <c r="X1121" s="39"/>
      <c r="Y1121" s="39"/>
      <c r="Z1121" s="39"/>
      <c r="AA1121" s="39"/>
    </row>
    <row r="1122" ht="15.75" customHeight="1">
      <c r="C1122" s="39"/>
      <c r="J1122" s="26"/>
      <c r="K1122" s="151"/>
      <c r="L1122" s="151"/>
      <c r="M1122" s="151"/>
      <c r="N1122" s="151"/>
      <c r="O1122" s="151"/>
      <c r="P1122" s="151"/>
      <c r="Q1122" s="151"/>
      <c r="R1122" s="39"/>
      <c r="S1122" s="39"/>
      <c r="T1122" s="39"/>
      <c r="U1122" s="39"/>
      <c r="V1122" s="39"/>
      <c r="W1122" s="39"/>
      <c r="X1122" s="39"/>
      <c r="Y1122" s="39"/>
      <c r="Z1122" s="39"/>
      <c r="AA1122" s="39"/>
    </row>
    <row r="1123" ht="15.75" customHeight="1">
      <c r="C1123" s="39"/>
      <c r="J1123" s="26"/>
      <c r="K1123" s="151"/>
      <c r="L1123" s="151"/>
      <c r="M1123" s="151"/>
      <c r="N1123" s="151"/>
      <c r="O1123" s="151"/>
      <c r="P1123" s="151"/>
      <c r="Q1123" s="151"/>
      <c r="R1123" s="39"/>
      <c r="S1123" s="39"/>
      <c r="T1123" s="39"/>
      <c r="U1123" s="39"/>
      <c r="V1123" s="39"/>
      <c r="W1123" s="39"/>
      <c r="X1123" s="39"/>
      <c r="Y1123" s="39"/>
      <c r="Z1123" s="39"/>
      <c r="AA1123" s="39"/>
    </row>
    <row r="1124" ht="15.75" customHeight="1">
      <c r="C1124" s="39"/>
      <c r="J1124" s="26"/>
      <c r="K1124" s="151"/>
      <c r="L1124" s="151"/>
      <c r="M1124" s="151"/>
      <c r="N1124" s="151"/>
      <c r="O1124" s="151"/>
      <c r="P1124" s="151"/>
      <c r="Q1124" s="151"/>
      <c r="R1124" s="39"/>
      <c r="S1124" s="39"/>
      <c r="T1124" s="39"/>
      <c r="U1124" s="39"/>
      <c r="V1124" s="39"/>
      <c r="W1124" s="39"/>
      <c r="X1124" s="39"/>
      <c r="Y1124" s="39"/>
      <c r="Z1124" s="39"/>
      <c r="AA1124" s="39"/>
    </row>
    <row r="1125" ht="15.75" customHeight="1">
      <c r="C1125" s="39"/>
      <c r="J1125" s="26"/>
      <c r="K1125" s="151"/>
      <c r="L1125" s="151"/>
      <c r="M1125" s="151"/>
      <c r="N1125" s="151"/>
      <c r="O1125" s="151"/>
      <c r="P1125" s="151"/>
      <c r="Q1125" s="151"/>
      <c r="R1125" s="39"/>
      <c r="S1125" s="39"/>
      <c r="T1125" s="39"/>
      <c r="U1125" s="39"/>
      <c r="V1125" s="39"/>
      <c r="W1125" s="39"/>
      <c r="X1125" s="39"/>
      <c r="Y1125" s="39"/>
      <c r="Z1125" s="39"/>
      <c r="AA1125" s="39"/>
    </row>
    <row r="1126" ht="15.75" customHeight="1">
      <c r="C1126" s="39"/>
      <c r="J1126" s="26"/>
      <c r="K1126" s="151"/>
      <c r="L1126" s="151"/>
      <c r="M1126" s="151"/>
      <c r="N1126" s="151"/>
      <c r="O1126" s="151"/>
      <c r="P1126" s="151"/>
      <c r="Q1126" s="151"/>
      <c r="R1126" s="39"/>
      <c r="S1126" s="39"/>
      <c r="T1126" s="39"/>
      <c r="U1126" s="39"/>
      <c r="V1126" s="39"/>
      <c r="W1126" s="39"/>
      <c r="X1126" s="39"/>
      <c r="Y1126" s="39"/>
      <c r="Z1126" s="39"/>
      <c r="AA1126" s="39"/>
    </row>
    <row r="1127" ht="15.75" customHeight="1">
      <c r="C1127" s="39"/>
      <c r="J1127" s="26"/>
      <c r="K1127" s="151"/>
      <c r="L1127" s="151"/>
      <c r="M1127" s="151"/>
      <c r="N1127" s="151"/>
      <c r="O1127" s="151"/>
      <c r="P1127" s="151"/>
      <c r="Q1127" s="151"/>
      <c r="R1127" s="39"/>
      <c r="S1127" s="39"/>
      <c r="T1127" s="39"/>
      <c r="U1127" s="39"/>
      <c r="V1127" s="39"/>
      <c r="W1127" s="39"/>
      <c r="X1127" s="39"/>
      <c r="Y1127" s="39"/>
      <c r="Z1127" s="39"/>
      <c r="AA1127" s="39"/>
    </row>
    <row r="1128" ht="15.75" customHeight="1">
      <c r="C1128" s="39"/>
      <c r="J1128" s="26"/>
      <c r="K1128" s="151"/>
      <c r="L1128" s="151"/>
      <c r="M1128" s="151"/>
      <c r="N1128" s="151"/>
      <c r="O1128" s="151"/>
      <c r="P1128" s="151"/>
      <c r="Q1128" s="151"/>
      <c r="R1128" s="39"/>
      <c r="S1128" s="39"/>
      <c r="T1128" s="39"/>
      <c r="U1128" s="39"/>
      <c r="V1128" s="39"/>
      <c r="W1128" s="39"/>
      <c r="X1128" s="39"/>
      <c r="Y1128" s="39"/>
      <c r="Z1128" s="39"/>
      <c r="AA1128" s="39"/>
    </row>
    <row r="1129" ht="15.75" customHeight="1">
      <c r="C1129" s="39"/>
      <c r="J1129" s="26"/>
      <c r="K1129" s="151"/>
      <c r="L1129" s="151"/>
      <c r="M1129" s="151"/>
      <c r="N1129" s="151"/>
      <c r="O1129" s="151"/>
      <c r="P1129" s="151"/>
      <c r="Q1129" s="151"/>
      <c r="R1129" s="39"/>
      <c r="S1129" s="39"/>
      <c r="T1129" s="39"/>
      <c r="U1129" s="39"/>
      <c r="V1129" s="39"/>
      <c r="W1129" s="39"/>
      <c r="X1129" s="39"/>
      <c r="Y1129" s="39"/>
      <c r="Z1129" s="39"/>
      <c r="AA1129" s="39"/>
    </row>
    <row r="1130" ht="15.75" customHeight="1">
      <c r="C1130" s="39"/>
      <c r="J1130" s="26"/>
      <c r="K1130" s="151"/>
      <c r="L1130" s="151"/>
      <c r="M1130" s="151"/>
      <c r="N1130" s="151"/>
      <c r="O1130" s="151"/>
      <c r="P1130" s="151"/>
      <c r="Q1130" s="151"/>
      <c r="R1130" s="39"/>
      <c r="S1130" s="39"/>
      <c r="T1130" s="39"/>
      <c r="U1130" s="39"/>
      <c r="V1130" s="39"/>
      <c r="W1130" s="39"/>
      <c r="X1130" s="39"/>
      <c r="Y1130" s="39"/>
      <c r="Z1130" s="39"/>
      <c r="AA1130" s="39"/>
    </row>
    <row r="1131" ht="15.75" customHeight="1">
      <c r="C1131" s="39"/>
      <c r="J1131" s="26"/>
      <c r="K1131" s="151"/>
      <c r="L1131" s="151"/>
      <c r="M1131" s="151"/>
      <c r="N1131" s="151"/>
      <c r="O1131" s="151"/>
      <c r="P1131" s="151"/>
      <c r="Q1131" s="151"/>
      <c r="R1131" s="39"/>
      <c r="S1131" s="39"/>
      <c r="T1131" s="39"/>
      <c r="U1131" s="39"/>
      <c r="V1131" s="39"/>
      <c r="W1131" s="39"/>
      <c r="X1131" s="39"/>
      <c r="Y1131" s="39"/>
      <c r="Z1131" s="39"/>
      <c r="AA1131" s="39"/>
    </row>
    <row r="1132" ht="15.75" customHeight="1">
      <c r="C1132" s="39"/>
      <c r="J1132" s="26"/>
      <c r="K1132" s="151"/>
      <c r="L1132" s="151"/>
      <c r="M1132" s="151"/>
      <c r="N1132" s="151"/>
      <c r="O1132" s="151"/>
      <c r="P1132" s="151"/>
      <c r="Q1132" s="151"/>
      <c r="R1132" s="39"/>
      <c r="S1132" s="39"/>
      <c r="T1132" s="39"/>
      <c r="U1132" s="39"/>
      <c r="V1132" s="39"/>
      <c r="W1132" s="39"/>
      <c r="X1132" s="39"/>
      <c r="Y1132" s="39"/>
      <c r="Z1132" s="39"/>
      <c r="AA1132" s="39"/>
    </row>
    <row r="1133" ht="15.75" customHeight="1">
      <c r="C1133" s="39"/>
      <c r="J1133" s="26"/>
      <c r="K1133" s="151"/>
      <c r="L1133" s="151"/>
      <c r="M1133" s="151"/>
      <c r="N1133" s="151"/>
      <c r="O1133" s="151"/>
      <c r="P1133" s="151"/>
      <c r="Q1133" s="151"/>
      <c r="R1133" s="39"/>
      <c r="S1133" s="39"/>
      <c r="T1133" s="39"/>
      <c r="U1133" s="39"/>
      <c r="V1133" s="39"/>
      <c r="W1133" s="39"/>
      <c r="X1133" s="39"/>
      <c r="Y1133" s="39"/>
      <c r="Z1133" s="39"/>
      <c r="AA1133" s="39"/>
    </row>
    <row r="1134" ht="15.75" customHeight="1">
      <c r="C1134" s="39"/>
      <c r="J1134" s="26"/>
      <c r="K1134" s="151"/>
      <c r="L1134" s="151"/>
      <c r="M1134" s="151"/>
      <c r="N1134" s="151"/>
      <c r="O1134" s="151"/>
      <c r="P1134" s="151"/>
      <c r="Q1134" s="151"/>
      <c r="R1134" s="39"/>
      <c r="S1134" s="39"/>
      <c r="T1134" s="39"/>
      <c r="U1134" s="39"/>
      <c r="V1134" s="39"/>
      <c r="W1134" s="39"/>
      <c r="X1134" s="39"/>
      <c r="Y1134" s="39"/>
      <c r="Z1134" s="39"/>
      <c r="AA1134" s="39"/>
    </row>
    <row r="1135" ht="15.75" customHeight="1">
      <c r="C1135" s="39"/>
      <c r="J1135" s="26"/>
      <c r="K1135" s="151"/>
      <c r="L1135" s="151"/>
      <c r="M1135" s="151"/>
      <c r="N1135" s="151"/>
      <c r="O1135" s="151"/>
      <c r="P1135" s="151"/>
      <c r="Q1135" s="151"/>
      <c r="R1135" s="39"/>
      <c r="S1135" s="39"/>
      <c r="T1135" s="39"/>
      <c r="U1135" s="39"/>
      <c r="V1135" s="39"/>
      <c r="W1135" s="39"/>
      <c r="X1135" s="39"/>
      <c r="Y1135" s="39"/>
      <c r="Z1135" s="39"/>
      <c r="AA1135" s="39"/>
    </row>
    <row r="1136" ht="15.75" customHeight="1">
      <c r="C1136" s="39"/>
      <c r="J1136" s="26"/>
      <c r="K1136" s="151"/>
      <c r="L1136" s="151"/>
      <c r="M1136" s="151"/>
      <c r="N1136" s="151"/>
      <c r="O1136" s="151"/>
      <c r="P1136" s="151"/>
      <c r="Q1136" s="151"/>
      <c r="R1136" s="39"/>
      <c r="S1136" s="39"/>
      <c r="T1136" s="39"/>
      <c r="U1136" s="39"/>
      <c r="V1136" s="39"/>
      <c r="W1136" s="39"/>
      <c r="X1136" s="39"/>
      <c r="Y1136" s="39"/>
      <c r="Z1136" s="39"/>
      <c r="AA1136" s="39"/>
    </row>
    <row r="1137" ht="15.75" customHeight="1">
      <c r="C1137" s="39"/>
      <c r="J1137" s="26"/>
      <c r="K1137" s="151"/>
      <c r="L1137" s="151"/>
      <c r="M1137" s="151"/>
      <c r="N1137" s="151"/>
      <c r="O1137" s="151"/>
      <c r="P1137" s="151"/>
      <c r="Q1137" s="151"/>
      <c r="R1137" s="39"/>
      <c r="S1137" s="39"/>
      <c r="T1137" s="39"/>
      <c r="U1137" s="39"/>
      <c r="V1137" s="39"/>
      <c r="W1137" s="39"/>
      <c r="X1137" s="39"/>
      <c r="Y1137" s="39"/>
      <c r="Z1137" s="39"/>
      <c r="AA1137" s="39"/>
    </row>
    <row r="1138" ht="15.75" customHeight="1">
      <c r="C1138" s="39"/>
      <c r="J1138" s="26"/>
      <c r="K1138" s="151"/>
      <c r="L1138" s="151"/>
      <c r="M1138" s="151"/>
      <c r="N1138" s="151"/>
      <c r="O1138" s="151"/>
      <c r="P1138" s="151"/>
      <c r="Q1138" s="151"/>
      <c r="R1138" s="39"/>
      <c r="S1138" s="39"/>
      <c r="T1138" s="39"/>
      <c r="U1138" s="39"/>
      <c r="V1138" s="39"/>
      <c r="W1138" s="39"/>
      <c r="X1138" s="39"/>
      <c r="Y1138" s="39"/>
      <c r="Z1138" s="39"/>
      <c r="AA1138" s="39"/>
    </row>
    <row r="1139" ht="15.75" customHeight="1">
      <c r="C1139" s="39"/>
      <c r="J1139" s="26"/>
      <c r="K1139" s="151"/>
      <c r="L1139" s="151"/>
      <c r="M1139" s="151"/>
      <c r="N1139" s="151"/>
      <c r="O1139" s="151"/>
      <c r="P1139" s="151"/>
      <c r="Q1139" s="151"/>
      <c r="R1139" s="39"/>
      <c r="S1139" s="39"/>
      <c r="T1139" s="39"/>
      <c r="U1139" s="39"/>
      <c r="V1139" s="39"/>
      <c r="W1139" s="39"/>
      <c r="X1139" s="39"/>
      <c r="Y1139" s="39"/>
      <c r="Z1139" s="39"/>
      <c r="AA1139" s="39"/>
    </row>
    <row r="1140" ht="15.75" customHeight="1">
      <c r="C1140" s="39"/>
      <c r="J1140" s="26"/>
      <c r="K1140" s="151"/>
      <c r="L1140" s="151"/>
      <c r="M1140" s="151"/>
      <c r="N1140" s="151"/>
      <c r="O1140" s="151"/>
      <c r="P1140" s="151"/>
      <c r="Q1140" s="151"/>
      <c r="R1140" s="39"/>
      <c r="S1140" s="39"/>
      <c r="T1140" s="39"/>
      <c r="U1140" s="39"/>
      <c r="V1140" s="39"/>
      <c r="W1140" s="39"/>
      <c r="X1140" s="39"/>
      <c r="Y1140" s="39"/>
      <c r="Z1140" s="39"/>
      <c r="AA1140" s="39"/>
    </row>
    <row r="1141" ht="15.75" customHeight="1">
      <c r="C1141" s="39"/>
      <c r="J1141" s="26"/>
      <c r="K1141" s="151"/>
      <c r="L1141" s="151"/>
      <c r="M1141" s="151"/>
      <c r="N1141" s="151"/>
      <c r="O1141" s="151"/>
      <c r="P1141" s="151"/>
      <c r="Q1141" s="151"/>
      <c r="R1141" s="39"/>
      <c r="S1141" s="39"/>
      <c r="T1141" s="39"/>
      <c r="U1141" s="39"/>
      <c r="V1141" s="39"/>
      <c r="W1141" s="39"/>
      <c r="X1141" s="39"/>
      <c r="Y1141" s="39"/>
      <c r="Z1141" s="39"/>
      <c r="AA1141" s="39"/>
    </row>
    <row r="1142" ht="15.75" customHeight="1">
      <c r="C1142" s="39"/>
      <c r="J1142" s="26"/>
      <c r="K1142" s="151"/>
      <c r="L1142" s="151"/>
      <c r="M1142" s="151"/>
      <c r="N1142" s="151"/>
      <c r="O1142" s="151"/>
      <c r="P1142" s="151"/>
      <c r="Q1142" s="151"/>
      <c r="R1142" s="39"/>
      <c r="S1142" s="39"/>
      <c r="T1142" s="39"/>
      <c r="U1142" s="39"/>
      <c r="V1142" s="39"/>
      <c r="W1142" s="39"/>
      <c r="X1142" s="39"/>
      <c r="Y1142" s="39"/>
      <c r="Z1142" s="39"/>
      <c r="AA1142" s="39"/>
    </row>
    <row r="1143" ht="15.75" customHeight="1">
      <c r="C1143" s="39"/>
      <c r="J1143" s="26"/>
      <c r="K1143" s="151"/>
      <c r="L1143" s="151"/>
      <c r="M1143" s="151"/>
      <c r="N1143" s="151"/>
      <c r="O1143" s="151"/>
      <c r="P1143" s="151"/>
      <c r="Q1143" s="151"/>
      <c r="R1143" s="39"/>
      <c r="S1143" s="39"/>
      <c r="T1143" s="39"/>
      <c r="U1143" s="39"/>
      <c r="V1143" s="39"/>
      <c r="W1143" s="39"/>
      <c r="X1143" s="39"/>
      <c r="Y1143" s="39"/>
      <c r="Z1143" s="39"/>
      <c r="AA1143" s="39"/>
    </row>
    <row r="1144" ht="15.75" customHeight="1">
      <c r="C1144" s="39"/>
      <c r="J1144" s="26"/>
      <c r="K1144" s="151"/>
      <c r="L1144" s="151"/>
      <c r="M1144" s="151"/>
      <c r="N1144" s="151"/>
      <c r="O1144" s="151"/>
      <c r="P1144" s="151"/>
      <c r="Q1144" s="151"/>
      <c r="R1144" s="39"/>
      <c r="S1144" s="39"/>
      <c r="T1144" s="39"/>
      <c r="U1144" s="39"/>
      <c r="V1144" s="39"/>
      <c r="W1144" s="39"/>
      <c r="X1144" s="39"/>
      <c r="Y1144" s="39"/>
      <c r="Z1144" s="39"/>
      <c r="AA1144" s="39"/>
    </row>
    <row r="1145" ht="15.75" customHeight="1">
      <c r="C1145" s="39"/>
      <c r="J1145" s="26"/>
      <c r="K1145" s="151"/>
      <c r="L1145" s="151"/>
      <c r="M1145" s="151"/>
      <c r="N1145" s="151"/>
      <c r="O1145" s="151"/>
      <c r="P1145" s="151"/>
      <c r="Q1145" s="151"/>
      <c r="R1145" s="39"/>
      <c r="S1145" s="39"/>
      <c r="T1145" s="39"/>
      <c r="U1145" s="39"/>
      <c r="V1145" s="39"/>
      <c r="W1145" s="39"/>
      <c r="X1145" s="39"/>
      <c r="Y1145" s="39"/>
      <c r="Z1145" s="39"/>
      <c r="AA1145" s="39"/>
    </row>
    <row r="1146" ht="15.75" customHeight="1">
      <c r="C1146" s="39"/>
      <c r="J1146" s="26"/>
      <c r="K1146" s="151"/>
      <c r="L1146" s="151"/>
      <c r="M1146" s="151"/>
      <c r="N1146" s="151"/>
      <c r="O1146" s="151"/>
      <c r="P1146" s="151"/>
      <c r="Q1146" s="151"/>
      <c r="R1146" s="39"/>
      <c r="S1146" s="39"/>
      <c r="T1146" s="39"/>
      <c r="U1146" s="39"/>
      <c r="V1146" s="39"/>
      <c r="W1146" s="39"/>
      <c r="X1146" s="39"/>
      <c r="Y1146" s="39"/>
      <c r="Z1146" s="39"/>
      <c r="AA1146" s="39"/>
    </row>
    <row r="1147" ht="15.75" customHeight="1">
      <c r="C1147" s="39"/>
      <c r="J1147" s="26"/>
      <c r="K1147" s="151"/>
      <c r="L1147" s="151"/>
      <c r="M1147" s="151"/>
      <c r="N1147" s="151"/>
      <c r="O1147" s="151"/>
      <c r="P1147" s="151"/>
      <c r="Q1147" s="151"/>
      <c r="R1147" s="39"/>
      <c r="S1147" s="39"/>
      <c r="T1147" s="39"/>
      <c r="U1147" s="39"/>
      <c r="V1147" s="39"/>
      <c r="W1147" s="39"/>
      <c r="X1147" s="39"/>
      <c r="Y1147" s="39"/>
      <c r="Z1147" s="39"/>
      <c r="AA1147" s="39"/>
    </row>
    <row r="1148" ht="15.75" customHeight="1">
      <c r="C1148" s="39"/>
      <c r="J1148" s="26"/>
      <c r="K1148" s="151"/>
      <c r="L1148" s="151"/>
      <c r="M1148" s="151"/>
      <c r="N1148" s="151"/>
      <c r="O1148" s="151"/>
      <c r="P1148" s="151"/>
      <c r="Q1148" s="151"/>
      <c r="R1148" s="39"/>
      <c r="S1148" s="39"/>
      <c r="T1148" s="39"/>
      <c r="U1148" s="39"/>
      <c r="V1148" s="39"/>
      <c r="W1148" s="39"/>
      <c r="X1148" s="39"/>
      <c r="Y1148" s="39"/>
      <c r="Z1148" s="39"/>
      <c r="AA1148" s="39"/>
    </row>
    <row r="1149" ht="15.75" customHeight="1">
      <c r="C1149" s="39"/>
      <c r="J1149" s="26"/>
      <c r="K1149" s="151"/>
      <c r="L1149" s="151"/>
      <c r="M1149" s="151"/>
      <c r="N1149" s="151"/>
      <c r="O1149" s="151"/>
      <c r="P1149" s="151"/>
      <c r="Q1149" s="151"/>
      <c r="R1149" s="39"/>
      <c r="S1149" s="39"/>
      <c r="T1149" s="39"/>
      <c r="U1149" s="39"/>
      <c r="V1149" s="39"/>
      <c r="W1149" s="39"/>
      <c r="X1149" s="39"/>
      <c r="Y1149" s="39"/>
      <c r="Z1149" s="39"/>
      <c r="AA1149" s="39"/>
    </row>
    <row r="1150" ht="15.75" customHeight="1">
      <c r="C1150" s="39"/>
      <c r="J1150" s="26"/>
      <c r="K1150" s="151"/>
      <c r="L1150" s="151"/>
      <c r="M1150" s="151"/>
      <c r="N1150" s="151"/>
      <c r="O1150" s="151"/>
      <c r="P1150" s="151"/>
      <c r="Q1150" s="151"/>
      <c r="R1150" s="39"/>
      <c r="S1150" s="39"/>
      <c r="T1150" s="39"/>
      <c r="U1150" s="39"/>
      <c r="V1150" s="39"/>
      <c r="W1150" s="39"/>
      <c r="X1150" s="39"/>
      <c r="Y1150" s="39"/>
      <c r="Z1150" s="39"/>
      <c r="AA1150" s="39"/>
    </row>
    <row r="1151" ht="15.75" customHeight="1">
      <c r="C1151" s="39"/>
      <c r="J1151" s="26"/>
      <c r="K1151" s="151"/>
      <c r="L1151" s="151"/>
      <c r="M1151" s="151"/>
      <c r="N1151" s="151"/>
      <c r="O1151" s="151"/>
      <c r="P1151" s="151"/>
      <c r="Q1151" s="151"/>
      <c r="R1151" s="39"/>
      <c r="S1151" s="39"/>
      <c r="T1151" s="39"/>
      <c r="U1151" s="39"/>
      <c r="V1151" s="39"/>
      <c r="W1151" s="39"/>
      <c r="X1151" s="39"/>
      <c r="Y1151" s="39"/>
      <c r="Z1151" s="39"/>
      <c r="AA1151" s="39"/>
    </row>
    <row r="1152" ht="15.75" customHeight="1">
      <c r="C1152" s="39"/>
      <c r="J1152" s="26"/>
      <c r="K1152" s="151"/>
      <c r="L1152" s="151"/>
      <c r="M1152" s="151"/>
      <c r="N1152" s="151"/>
      <c r="O1152" s="151"/>
      <c r="P1152" s="151"/>
      <c r="Q1152" s="151"/>
      <c r="R1152" s="39"/>
      <c r="S1152" s="39"/>
      <c r="T1152" s="39"/>
      <c r="U1152" s="39"/>
      <c r="V1152" s="39"/>
      <c r="W1152" s="39"/>
      <c r="X1152" s="39"/>
      <c r="Y1152" s="39"/>
      <c r="Z1152" s="39"/>
      <c r="AA1152" s="39"/>
    </row>
    <row r="1153" ht="15.75" customHeight="1">
      <c r="C1153" s="39"/>
      <c r="J1153" s="26"/>
      <c r="K1153" s="151"/>
      <c r="L1153" s="151"/>
      <c r="M1153" s="151"/>
      <c r="N1153" s="151"/>
      <c r="O1153" s="151"/>
      <c r="P1153" s="151"/>
      <c r="Q1153" s="151"/>
      <c r="R1153" s="39"/>
      <c r="S1153" s="39"/>
      <c r="T1153" s="39"/>
      <c r="U1153" s="39"/>
      <c r="V1153" s="39"/>
      <c r="W1153" s="39"/>
      <c r="X1153" s="39"/>
      <c r="Y1153" s="39"/>
      <c r="Z1153" s="39"/>
      <c r="AA1153" s="39"/>
    </row>
    <row r="1154" ht="15.75" customHeight="1">
      <c r="C1154" s="39"/>
      <c r="J1154" s="26"/>
      <c r="K1154" s="151"/>
      <c r="L1154" s="151"/>
      <c r="M1154" s="151"/>
      <c r="N1154" s="151"/>
      <c r="O1154" s="151"/>
      <c r="P1154" s="151"/>
      <c r="Q1154" s="151"/>
      <c r="R1154" s="39"/>
      <c r="S1154" s="39"/>
      <c r="T1154" s="39"/>
      <c r="U1154" s="39"/>
      <c r="V1154" s="39"/>
      <c r="W1154" s="39"/>
      <c r="X1154" s="39"/>
      <c r="Y1154" s="39"/>
      <c r="Z1154" s="39"/>
      <c r="AA1154" s="39"/>
    </row>
    <row r="1155" ht="15.75" customHeight="1">
      <c r="C1155" s="39"/>
      <c r="J1155" s="26"/>
      <c r="K1155" s="151"/>
      <c r="L1155" s="151"/>
      <c r="M1155" s="151"/>
      <c r="N1155" s="151"/>
      <c r="O1155" s="151"/>
      <c r="P1155" s="151"/>
      <c r="Q1155" s="151"/>
      <c r="R1155" s="39"/>
      <c r="S1155" s="39"/>
      <c r="T1155" s="39"/>
      <c r="U1155" s="39"/>
      <c r="V1155" s="39"/>
      <c r="W1155" s="39"/>
      <c r="X1155" s="39"/>
      <c r="Y1155" s="39"/>
      <c r="Z1155" s="39"/>
      <c r="AA1155" s="39"/>
    </row>
    <row r="1156" ht="15.75" customHeight="1">
      <c r="C1156" s="39"/>
      <c r="J1156" s="26"/>
      <c r="K1156" s="151"/>
      <c r="L1156" s="151"/>
      <c r="M1156" s="151"/>
      <c r="N1156" s="151"/>
      <c r="O1156" s="151"/>
      <c r="P1156" s="151"/>
      <c r="Q1156" s="151"/>
      <c r="R1156" s="39"/>
      <c r="S1156" s="39"/>
      <c r="T1156" s="39"/>
      <c r="U1156" s="39"/>
      <c r="V1156" s="39"/>
      <c r="W1156" s="39"/>
      <c r="X1156" s="39"/>
      <c r="Y1156" s="39"/>
      <c r="Z1156" s="39"/>
      <c r="AA1156" s="39"/>
    </row>
    <row r="1157" ht="15.75" customHeight="1">
      <c r="C1157" s="39"/>
      <c r="J1157" s="26"/>
      <c r="K1157" s="151"/>
      <c r="L1157" s="151"/>
      <c r="M1157" s="151"/>
      <c r="N1157" s="151"/>
      <c r="O1157" s="151"/>
      <c r="P1157" s="151"/>
      <c r="Q1157" s="151"/>
      <c r="R1157" s="39"/>
      <c r="S1157" s="39"/>
      <c r="T1157" s="39"/>
      <c r="U1157" s="39"/>
      <c r="V1157" s="39"/>
      <c r="W1157" s="39"/>
      <c r="X1157" s="39"/>
      <c r="Y1157" s="39"/>
      <c r="Z1157" s="39"/>
      <c r="AA1157" s="39"/>
    </row>
    <row r="1158" ht="15.75" customHeight="1">
      <c r="C1158" s="39"/>
      <c r="J1158" s="26"/>
      <c r="K1158" s="151"/>
      <c r="L1158" s="151"/>
      <c r="M1158" s="151"/>
      <c r="N1158" s="151"/>
      <c r="O1158" s="151"/>
      <c r="P1158" s="151"/>
      <c r="Q1158" s="151"/>
      <c r="R1158" s="39"/>
      <c r="S1158" s="39"/>
      <c r="T1158" s="39"/>
      <c r="U1158" s="39"/>
      <c r="V1158" s="39"/>
      <c r="W1158" s="39"/>
      <c r="X1158" s="39"/>
      <c r="Y1158" s="39"/>
      <c r="Z1158" s="39"/>
      <c r="AA1158" s="39"/>
    </row>
    <row r="1159" ht="15.75" customHeight="1">
      <c r="C1159" s="39"/>
      <c r="J1159" s="26"/>
      <c r="K1159" s="151"/>
      <c r="L1159" s="151"/>
      <c r="M1159" s="151"/>
      <c r="N1159" s="151"/>
      <c r="O1159" s="151"/>
      <c r="P1159" s="151"/>
      <c r="Q1159" s="151"/>
      <c r="R1159" s="39"/>
      <c r="S1159" s="39"/>
      <c r="T1159" s="39"/>
      <c r="U1159" s="39"/>
      <c r="V1159" s="39"/>
      <c r="W1159" s="39"/>
      <c r="X1159" s="39"/>
      <c r="Y1159" s="39"/>
      <c r="Z1159" s="39"/>
      <c r="AA1159" s="39"/>
    </row>
    <row r="1160" ht="15.75" customHeight="1">
      <c r="C1160" s="39"/>
      <c r="J1160" s="26"/>
      <c r="K1160" s="151"/>
      <c r="L1160" s="151"/>
      <c r="M1160" s="151"/>
      <c r="N1160" s="151"/>
      <c r="O1160" s="151"/>
      <c r="P1160" s="151"/>
      <c r="Q1160" s="151"/>
      <c r="R1160" s="39"/>
      <c r="S1160" s="39"/>
      <c r="T1160" s="39"/>
      <c r="U1160" s="39"/>
      <c r="V1160" s="39"/>
      <c r="W1160" s="39"/>
      <c r="X1160" s="39"/>
      <c r="Y1160" s="39"/>
      <c r="Z1160" s="39"/>
      <c r="AA1160" s="39"/>
    </row>
    <row r="1161" ht="15.75" customHeight="1">
      <c r="C1161" s="39"/>
      <c r="J1161" s="26"/>
      <c r="K1161" s="151"/>
      <c r="L1161" s="151"/>
      <c r="M1161" s="151"/>
      <c r="N1161" s="151"/>
      <c r="O1161" s="151"/>
      <c r="P1161" s="151"/>
      <c r="Q1161" s="151"/>
      <c r="R1161" s="39"/>
      <c r="S1161" s="39"/>
      <c r="T1161" s="39"/>
      <c r="U1161" s="39"/>
      <c r="V1161" s="39"/>
      <c r="W1161" s="39"/>
      <c r="X1161" s="39"/>
      <c r="Y1161" s="39"/>
      <c r="Z1161" s="39"/>
      <c r="AA1161" s="39"/>
    </row>
    <row r="1162" ht="15.75" customHeight="1">
      <c r="C1162" s="39"/>
      <c r="J1162" s="26"/>
      <c r="K1162" s="151"/>
      <c r="L1162" s="151"/>
      <c r="M1162" s="151"/>
      <c r="N1162" s="151"/>
      <c r="O1162" s="151"/>
      <c r="P1162" s="151"/>
      <c r="Q1162" s="151"/>
      <c r="R1162" s="39"/>
      <c r="S1162" s="39"/>
      <c r="T1162" s="39"/>
      <c r="U1162" s="39"/>
      <c r="V1162" s="39"/>
      <c r="W1162" s="39"/>
      <c r="X1162" s="39"/>
      <c r="Y1162" s="39"/>
      <c r="Z1162" s="39"/>
      <c r="AA1162" s="39"/>
    </row>
    <row r="1163" ht="15.75" customHeight="1">
      <c r="C1163" s="39"/>
      <c r="J1163" s="26"/>
      <c r="K1163" s="151"/>
      <c r="L1163" s="151"/>
      <c r="M1163" s="151"/>
      <c r="N1163" s="151"/>
      <c r="O1163" s="151"/>
      <c r="P1163" s="151"/>
      <c r="Q1163" s="151"/>
      <c r="R1163" s="39"/>
      <c r="S1163" s="39"/>
      <c r="T1163" s="39"/>
      <c r="U1163" s="39"/>
      <c r="V1163" s="39"/>
      <c r="W1163" s="39"/>
      <c r="X1163" s="39"/>
      <c r="Y1163" s="39"/>
      <c r="Z1163" s="39"/>
      <c r="AA1163" s="39"/>
    </row>
    <row r="1164" ht="15.75" customHeight="1">
      <c r="C1164" s="39"/>
      <c r="J1164" s="26"/>
      <c r="K1164" s="151"/>
      <c r="L1164" s="151"/>
      <c r="M1164" s="151"/>
      <c r="N1164" s="151"/>
      <c r="O1164" s="151"/>
      <c r="P1164" s="151"/>
      <c r="Q1164" s="151"/>
      <c r="R1164" s="39"/>
      <c r="S1164" s="39"/>
      <c r="T1164" s="39"/>
      <c r="U1164" s="39"/>
      <c r="V1164" s="39"/>
      <c r="W1164" s="39"/>
      <c r="X1164" s="39"/>
      <c r="Y1164" s="39"/>
      <c r="Z1164" s="39"/>
      <c r="AA1164" s="39"/>
    </row>
    <row r="1165" ht="15.75" customHeight="1">
      <c r="C1165" s="39"/>
      <c r="J1165" s="26"/>
      <c r="K1165" s="151"/>
      <c r="L1165" s="151"/>
      <c r="M1165" s="151"/>
      <c r="N1165" s="151"/>
      <c r="O1165" s="151"/>
      <c r="P1165" s="151"/>
      <c r="Q1165" s="151"/>
      <c r="R1165" s="39"/>
      <c r="S1165" s="39"/>
      <c r="T1165" s="39"/>
      <c r="U1165" s="39"/>
      <c r="V1165" s="39"/>
      <c r="W1165" s="39"/>
      <c r="X1165" s="39"/>
      <c r="Y1165" s="39"/>
      <c r="Z1165" s="39"/>
      <c r="AA1165" s="39"/>
    </row>
    <row r="1166" ht="15.75" customHeight="1">
      <c r="C1166" s="39"/>
      <c r="J1166" s="26"/>
      <c r="K1166" s="151"/>
      <c r="L1166" s="151"/>
      <c r="M1166" s="151"/>
      <c r="N1166" s="151"/>
      <c r="O1166" s="151"/>
      <c r="P1166" s="151"/>
      <c r="Q1166" s="151"/>
      <c r="R1166" s="39"/>
      <c r="S1166" s="39"/>
      <c r="T1166" s="39"/>
      <c r="U1166" s="39"/>
      <c r="V1166" s="39"/>
      <c r="W1166" s="39"/>
      <c r="X1166" s="39"/>
      <c r="Y1166" s="39"/>
      <c r="Z1166" s="39"/>
      <c r="AA1166" s="39"/>
    </row>
    <row r="1167" ht="15.75" customHeight="1">
      <c r="C1167" s="39"/>
      <c r="J1167" s="26"/>
      <c r="K1167" s="151"/>
      <c r="L1167" s="151"/>
      <c r="M1167" s="151"/>
      <c r="N1167" s="151"/>
      <c r="O1167" s="151"/>
      <c r="P1167" s="151"/>
      <c r="Q1167" s="151"/>
      <c r="R1167" s="39"/>
      <c r="S1167" s="39"/>
      <c r="T1167" s="39"/>
      <c r="U1167" s="39"/>
      <c r="V1167" s="39"/>
      <c r="W1167" s="39"/>
      <c r="X1167" s="39"/>
      <c r="Y1167" s="39"/>
      <c r="Z1167" s="39"/>
      <c r="AA1167" s="39"/>
    </row>
    <row r="1168" ht="15.75" customHeight="1">
      <c r="C1168" s="39"/>
      <c r="J1168" s="26"/>
      <c r="K1168" s="151"/>
      <c r="L1168" s="151"/>
      <c r="M1168" s="151"/>
      <c r="N1168" s="151"/>
      <c r="O1168" s="151"/>
      <c r="P1168" s="151"/>
      <c r="Q1168" s="151"/>
      <c r="R1168" s="39"/>
      <c r="S1168" s="39"/>
      <c r="T1168" s="39"/>
      <c r="U1168" s="39"/>
      <c r="V1168" s="39"/>
      <c r="W1168" s="39"/>
      <c r="X1168" s="39"/>
      <c r="Y1168" s="39"/>
      <c r="Z1168" s="39"/>
      <c r="AA1168" s="39"/>
    </row>
    <row r="1169" ht="15.75" customHeight="1">
      <c r="C1169" s="39"/>
      <c r="J1169" s="26"/>
      <c r="K1169" s="151"/>
      <c r="L1169" s="151"/>
      <c r="M1169" s="151"/>
      <c r="N1169" s="151"/>
      <c r="O1169" s="151"/>
      <c r="P1169" s="151"/>
      <c r="Q1169" s="151"/>
      <c r="R1169" s="39"/>
      <c r="S1169" s="39"/>
      <c r="T1169" s="39"/>
      <c r="U1169" s="39"/>
      <c r="V1169" s="39"/>
      <c r="W1169" s="39"/>
      <c r="X1169" s="39"/>
      <c r="Y1169" s="39"/>
      <c r="Z1169" s="39"/>
      <c r="AA1169" s="39"/>
    </row>
    <row r="1170" ht="15.75" customHeight="1">
      <c r="C1170" s="39"/>
      <c r="J1170" s="26"/>
      <c r="K1170" s="151"/>
      <c r="L1170" s="151"/>
      <c r="M1170" s="151"/>
      <c r="N1170" s="151"/>
      <c r="O1170" s="151"/>
      <c r="P1170" s="151"/>
      <c r="Q1170" s="151"/>
      <c r="R1170" s="39"/>
      <c r="S1170" s="39"/>
      <c r="T1170" s="39"/>
      <c r="U1170" s="39"/>
      <c r="V1170" s="39"/>
      <c r="W1170" s="39"/>
      <c r="X1170" s="39"/>
      <c r="Y1170" s="39"/>
      <c r="Z1170" s="39"/>
      <c r="AA1170" s="39"/>
    </row>
    <row r="1171" ht="15.75" customHeight="1">
      <c r="C1171" s="39"/>
      <c r="J1171" s="26"/>
      <c r="K1171" s="151"/>
      <c r="L1171" s="151"/>
      <c r="M1171" s="151"/>
      <c r="N1171" s="151"/>
      <c r="O1171" s="151"/>
      <c r="P1171" s="151"/>
      <c r="Q1171" s="151"/>
      <c r="R1171" s="39"/>
      <c r="S1171" s="39"/>
      <c r="T1171" s="39"/>
      <c r="U1171" s="39"/>
      <c r="V1171" s="39"/>
      <c r="W1171" s="39"/>
      <c r="X1171" s="39"/>
      <c r="Y1171" s="39"/>
      <c r="Z1171" s="39"/>
      <c r="AA1171" s="39"/>
    </row>
    <row r="1172" ht="15.75" customHeight="1">
      <c r="C1172" s="39"/>
      <c r="J1172" s="26"/>
      <c r="K1172" s="151"/>
      <c r="L1172" s="151"/>
      <c r="M1172" s="151"/>
      <c r="N1172" s="151"/>
      <c r="O1172" s="151"/>
      <c r="P1172" s="151"/>
      <c r="Q1172" s="151"/>
      <c r="R1172" s="39"/>
      <c r="S1172" s="39"/>
      <c r="T1172" s="39"/>
      <c r="U1172" s="39"/>
      <c r="V1172" s="39"/>
      <c r="W1172" s="39"/>
      <c r="X1172" s="39"/>
      <c r="Y1172" s="39"/>
      <c r="Z1172" s="39"/>
      <c r="AA1172" s="39"/>
    </row>
    <row r="1173" ht="15.75" customHeight="1">
      <c r="C1173" s="39"/>
      <c r="J1173" s="26"/>
      <c r="K1173" s="151"/>
      <c r="L1173" s="151"/>
      <c r="M1173" s="151"/>
      <c r="N1173" s="151"/>
      <c r="O1173" s="151"/>
      <c r="P1173" s="151"/>
      <c r="Q1173" s="151"/>
      <c r="R1173" s="39"/>
      <c r="S1173" s="39"/>
      <c r="T1173" s="39"/>
      <c r="U1173" s="39"/>
      <c r="V1173" s="39"/>
      <c r="W1173" s="39"/>
      <c r="X1173" s="39"/>
      <c r="Y1173" s="39"/>
      <c r="Z1173" s="39"/>
      <c r="AA1173" s="39"/>
    </row>
    <row r="1174" ht="15.75" customHeight="1">
      <c r="C1174" s="39"/>
      <c r="J1174" s="26"/>
      <c r="K1174" s="151"/>
      <c r="L1174" s="151"/>
      <c r="M1174" s="151"/>
      <c r="N1174" s="151"/>
      <c r="O1174" s="151"/>
      <c r="P1174" s="151"/>
      <c r="Q1174" s="151"/>
      <c r="R1174" s="39"/>
      <c r="S1174" s="39"/>
      <c r="T1174" s="39"/>
      <c r="U1174" s="39"/>
      <c r="V1174" s="39"/>
      <c r="W1174" s="39"/>
      <c r="X1174" s="39"/>
      <c r="Y1174" s="39"/>
      <c r="Z1174" s="39"/>
      <c r="AA1174" s="39"/>
    </row>
    <row r="1175" ht="15.75" customHeight="1">
      <c r="C1175" s="39"/>
      <c r="J1175" s="26"/>
      <c r="K1175" s="151"/>
      <c r="L1175" s="151"/>
      <c r="M1175" s="151"/>
      <c r="N1175" s="151"/>
      <c r="O1175" s="151"/>
      <c r="P1175" s="151"/>
      <c r="Q1175" s="151"/>
      <c r="R1175" s="39"/>
      <c r="S1175" s="39"/>
      <c r="T1175" s="39"/>
      <c r="U1175" s="39"/>
      <c r="V1175" s="39"/>
      <c r="W1175" s="39"/>
      <c r="X1175" s="39"/>
      <c r="Y1175" s="39"/>
      <c r="Z1175" s="39"/>
      <c r="AA1175" s="39"/>
    </row>
    <row r="1176" ht="15.75" customHeight="1">
      <c r="C1176" s="39"/>
      <c r="J1176" s="26"/>
      <c r="K1176" s="151"/>
      <c r="L1176" s="151"/>
      <c r="M1176" s="151"/>
      <c r="N1176" s="151"/>
      <c r="O1176" s="151"/>
      <c r="P1176" s="151"/>
      <c r="Q1176" s="151"/>
      <c r="R1176" s="39"/>
      <c r="S1176" s="39"/>
      <c r="T1176" s="39"/>
      <c r="U1176" s="39"/>
      <c r="V1176" s="39"/>
      <c r="W1176" s="39"/>
      <c r="X1176" s="39"/>
      <c r="Y1176" s="39"/>
      <c r="Z1176" s="39"/>
      <c r="AA1176" s="39"/>
    </row>
    <row r="1177" ht="15.75" customHeight="1">
      <c r="C1177" s="39"/>
      <c r="J1177" s="26"/>
      <c r="K1177" s="151"/>
      <c r="L1177" s="151"/>
      <c r="M1177" s="151"/>
      <c r="N1177" s="151"/>
      <c r="O1177" s="151"/>
      <c r="P1177" s="151"/>
      <c r="Q1177" s="151"/>
      <c r="R1177" s="39"/>
      <c r="S1177" s="39"/>
      <c r="T1177" s="39"/>
      <c r="U1177" s="39"/>
      <c r="V1177" s="39"/>
      <c r="W1177" s="39"/>
      <c r="X1177" s="39"/>
      <c r="Y1177" s="39"/>
      <c r="Z1177" s="39"/>
      <c r="AA1177" s="39"/>
    </row>
    <row r="1178" ht="15.75" customHeight="1">
      <c r="C1178" s="39"/>
      <c r="J1178" s="26"/>
      <c r="K1178" s="151"/>
      <c r="L1178" s="151"/>
      <c r="M1178" s="151"/>
      <c r="N1178" s="151"/>
      <c r="O1178" s="151"/>
      <c r="P1178" s="151"/>
      <c r="Q1178" s="151"/>
      <c r="R1178" s="39"/>
      <c r="S1178" s="39"/>
      <c r="T1178" s="39"/>
      <c r="U1178" s="39"/>
      <c r="V1178" s="39"/>
      <c r="W1178" s="39"/>
      <c r="X1178" s="39"/>
      <c r="Y1178" s="39"/>
      <c r="Z1178" s="39"/>
      <c r="AA1178" s="39"/>
    </row>
    <row r="1179" ht="15.75" customHeight="1">
      <c r="C1179" s="39"/>
      <c r="J1179" s="26"/>
      <c r="K1179" s="151"/>
      <c r="L1179" s="151"/>
      <c r="M1179" s="151"/>
      <c r="N1179" s="151"/>
      <c r="O1179" s="151"/>
      <c r="P1179" s="151"/>
      <c r="Q1179" s="151"/>
      <c r="R1179" s="39"/>
      <c r="S1179" s="39"/>
      <c r="T1179" s="39"/>
      <c r="U1179" s="39"/>
      <c r="V1179" s="39"/>
      <c r="W1179" s="39"/>
      <c r="X1179" s="39"/>
      <c r="Y1179" s="39"/>
      <c r="Z1179" s="39"/>
      <c r="AA1179" s="39"/>
    </row>
    <row r="1180" ht="15.75" customHeight="1">
      <c r="C1180" s="39"/>
      <c r="J1180" s="26"/>
      <c r="K1180" s="151"/>
      <c r="L1180" s="151"/>
      <c r="M1180" s="151"/>
      <c r="N1180" s="151"/>
      <c r="O1180" s="151"/>
      <c r="P1180" s="151"/>
      <c r="Q1180" s="151"/>
      <c r="R1180" s="39"/>
      <c r="S1180" s="39"/>
      <c r="T1180" s="39"/>
      <c r="U1180" s="39"/>
      <c r="V1180" s="39"/>
      <c r="W1180" s="39"/>
      <c r="X1180" s="39"/>
      <c r="Y1180" s="39"/>
      <c r="Z1180" s="39"/>
      <c r="AA1180" s="39"/>
    </row>
    <row r="1181" ht="15.75" customHeight="1">
      <c r="C1181" s="39"/>
      <c r="J1181" s="26"/>
      <c r="K1181" s="151"/>
      <c r="L1181" s="151"/>
      <c r="M1181" s="151"/>
      <c r="N1181" s="151"/>
      <c r="O1181" s="151"/>
      <c r="P1181" s="151"/>
      <c r="Q1181" s="151"/>
      <c r="R1181" s="39"/>
      <c r="S1181" s="39"/>
      <c r="T1181" s="39"/>
      <c r="U1181" s="39"/>
      <c r="V1181" s="39"/>
      <c r="W1181" s="39"/>
      <c r="X1181" s="39"/>
      <c r="Y1181" s="39"/>
      <c r="Z1181" s="39"/>
      <c r="AA1181" s="39"/>
    </row>
    <row r="1182" ht="15.75" customHeight="1">
      <c r="C1182" s="39"/>
      <c r="J1182" s="26"/>
      <c r="K1182" s="151"/>
      <c r="L1182" s="151"/>
      <c r="M1182" s="151"/>
      <c r="N1182" s="151"/>
      <c r="O1182" s="151"/>
      <c r="P1182" s="151"/>
      <c r="Q1182" s="151"/>
      <c r="R1182" s="39"/>
      <c r="S1182" s="39"/>
      <c r="T1182" s="39"/>
      <c r="U1182" s="39"/>
      <c r="V1182" s="39"/>
      <c r="W1182" s="39"/>
      <c r="X1182" s="39"/>
      <c r="Y1182" s="39"/>
      <c r="Z1182" s="39"/>
      <c r="AA1182" s="39"/>
    </row>
    <row r="1183" ht="15.75" customHeight="1">
      <c r="C1183" s="39"/>
      <c r="J1183" s="26"/>
      <c r="K1183" s="151"/>
      <c r="L1183" s="151"/>
      <c r="M1183" s="151"/>
      <c r="N1183" s="151"/>
      <c r="O1183" s="151"/>
      <c r="P1183" s="151"/>
      <c r="Q1183" s="151"/>
      <c r="R1183" s="39"/>
      <c r="S1183" s="39"/>
      <c r="T1183" s="39"/>
      <c r="U1183" s="39"/>
      <c r="V1183" s="39"/>
      <c r="W1183" s="39"/>
      <c r="X1183" s="39"/>
      <c r="Y1183" s="39"/>
      <c r="Z1183" s="39"/>
      <c r="AA1183" s="39"/>
    </row>
    <row r="1184" ht="15.75" customHeight="1">
      <c r="C1184" s="39"/>
      <c r="J1184" s="26"/>
      <c r="K1184" s="151"/>
      <c r="L1184" s="151"/>
      <c r="M1184" s="151"/>
      <c r="N1184" s="151"/>
      <c r="O1184" s="151"/>
      <c r="P1184" s="151"/>
      <c r="Q1184" s="151"/>
      <c r="R1184" s="39"/>
      <c r="S1184" s="39"/>
      <c r="T1184" s="39"/>
      <c r="U1184" s="39"/>
      <c r="V1184" s="39"/>
      <c r="W1184" s="39"/>
      <c r="X1184" s="39"/>
      <c r="Y1184" s="39"/>
      <c r="Z1184" s="39"/>
      <c r="AA1184" s="39"/>
    </row>
    <row r="1185" ht="15.75" customHeight="1">
      <c r="C1185" s="39"/>
      <c r="J1185" s="26"/>
      <c r="K1185" s="151"/>
      <c r="L1185" s="151"/>
      <c r="M1185" s="151"/>
      <c r="N1185" s="151"/>
      <c r="O1185" s="151"/>
      <c r="P1185" s="151"/>
      <c r="Q1185" s="151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</row>
    <row r="1186" ht="15.75" customHeight="1">
      <c r="C1186" s="39"/>
      <c r="J1186" s="26"/>
      <c r="K1186" s="151"/>
      <c r="L1186" s="151"/>
      <c r="M1186" s="151"/>
      <c r="N1186" s="151"/>
      <c r="O1186" s="151"/>
      <c r="P1186" s="151"/>
      <c r="Q1186" s="151"/>
      <c r="R1186" s="39"/>
      <c r="S1186" s="39"/>
      <c r="T1186" s="39"/>
      <c r="U1186" s="39"/>
      <c r="V1186" s="39"/>
      <c r="W1186" s="39"/>
      <c r="X1186" s="39"/>
      <c r="Y1186" s="39"/>
      <c r="Z1186" s="39"/>
      <c r="AA1186" s="39"/>
    </row>
    <row r="1187" ht="15.75" customHeight="1">
      <c r="C1187" s="39"/>
      <c r="J1187" s="26"/>
      <c r="K1187" s="151"/>
      <c r="L1187" s="151"/>
      <c r="M1187" s="151"/>
      <c r="N1187" s="151"/>
      <c r="O1187" s="151"/>
      <c r="P1187" s="151"/>
      <c r="Q1187" s="151"/>
      <c r="R1187" s="39"/>
      <c r="S1187" s="39"/>
      <c r="T1187" s="39"/>
      <c r="U1187" s="39"/>
      <c r="V1187" s="39"/>
      <c r="W1187" s="39"/>
      <c r="X1187" s="39"/>
      <c r="Y1187" s="39"/>
      <c r="Z1187" s="39"/>
      <c r="AA1187" s="39"/>
    </row>
    <row r="1188" ht="15.75" customHeight="1">
      <c r="C1188" s="39"/>
      <c r="J1188" s="26"/>
      <c r="K1188" s="151"/>
      <c r="L1188" s="151"/>
      <c r="M1188" s="151"/>
      <c r="N1188" s="151"/>
      <c r="O1188" s="151"/>
      <c r="P1188" s="151"/>
      <c r="Q1188" s="151"/>
      <c r="R1188" s="39"/>
      <c r="S1188" s="39"/>
      <c r="T1188" s="39"/>
      <c r="U1188" s="39"/>
      <c r="V1188" s="39"/>
      <c r="W1188" s="39"/>
      <c r="X1188" s="39"/>
      <c r="Y1188" s="39"/>
      <c r="Z1188" s="39"/>
      <c r="AA1188" s="39"/>
    </row>
    <row r="1189" ht="15.75" customHeight="1">
      <c r="C1189" s="39"/>
      <c r="J1189" s="26"/>
      <c r="K1189" s="151"/>
      <c r="L1189" s="151"/>
      <c r="M1189" s="151"/>
      <c r="N1189" s="151"/>
      <c r="O1189" s="151"/>
      <c r="P1189" s="151"/>
      <c r="Q1189" s="151"/>
      <c r="R1189" s="39"/>
      <c r="S1189" s="39"/>
      <c r="T1189" s="39"/>
      <c r="U1189" s="39"/>
      <c r="V1189" s="39"/>
      <c r="W1189" s="39"/>
      <c r="X1189" s="39"/>
      <c r="Y1189" s="39"/>
      <c r="Z1189" s="39"/>
      <c r="AA1189" s="39"/>
    </row>
    <row r="1190" ht="15.75" customHeight="1">
      <c r="C1190" s="39"/>
      <c r="J1190" s="26"/>
      <c r="K1190" s="151"/>
      <c r="L1190" s="151"/>
      <c r="M1190" s="151"/>
      <c r="N1190" s="151"/>
      <c r="O1190" s="151"/>
      <c r="P1190" s="151"/>
      <c r="Q1190" s="151"/>
      <c r="R1190" s="39"/>
      <c r="S1190" s="39"/>
      <c r="T1190" s="39"/>
      <c r="U1190" s="39"/>
      <c r="V1190" s="39"/>
      <c r="W1190" s="39"/>
      <c r="X1190" s="39"/>
      <c r="Y1190" s="39"/>
      <c r="Z1190" s="39"/>
      <c r="AA1190" s="39"/>
    </row>
    <row r="1191" ht="15.75" customHeight="1">
      <c r="C1191" s="39"/>
      <c r="J1191" s="26"/>
      <c r="K1191" s="151"/>
      <c r="L1191" s="151"/>
      <c r="M1191" s="151"/>
      <c r="N1191" s="151"/>
      <c r="O1191" s="151"/>
      <c r="P1191" s="151"/>
      <c r="Q1191" s="151"/>
      <c r="R1191" s="39"/>
      <c r="S1191" s="39"/>
      <c r="T1191" s="39"/>
      <c r="U1191" s="39"/>
      <c r="V1191" s="39"/>
      <c r="W1191" s="39"/>
      <c r="X1191" s="39"/>
      <c r="Y1191" s="39"/>
      <c r="Z1191" s="39"/>
      <c r="AA1191" s="39"/>
    </row>
    <row r="1192" ht="15.75" customHeight="1">
      <c r="C1192" s="39"/>
      <c r="J1192" s="26"/>
      <c r="K1192" s="151"/>
      <c r="L1192" s="151"/>
      <c r="M1192" s="151"/>
      <c r="N1192" s="151"/>
      <c r="O1192" s="151"/>
      <c r="P1192" s="151"/>
      <c r="Q1192" s="151"/>
      <c r="R1192" s="39"/>
      <c r="S1192" s="39"/>
      <c r="T1192" s="39"/>
      <c r="U1192" s="39"/>
      <c r="V1192" s="39"/>
      <c r="W1192" s="39"/>
      <c r="X1192" s="39"/>
      <c r="Y1192" s="39"/>
      <c r="Z1192" s="39"/>
      <c r="AA1192" s="39"/>
    </row>
    <row r="1193" ht="15.75" customHeight="1">
      <c r="C1193" s="39"/>
      <c r="J1193" s="26"/>
      <c r="K1193" s="151"/>
      <c r="L1193" s="151"/>
      <c r="M1193" s="151"/>
      <c r="N1193" s="151"/>
      <c r="O1193" s="151"/>
      <c r="P1193" s="151"/>
      <c r="Q1193" s="151"/>
      <c r="R1193" s="39"/>
      <c r="S1193" s="39"/>
      <c r="T1193" s="39"/>
      <c r="U1193" s="39"/>
      <c r="V1193" s="39"/>
      <c r="W1193" s="39"/>
      <c r="X1193" s="39"/>
      <c r="Y1193" s="39"/>
      <c r="Z1193" s="39"/>
      <c r="AA1193" s="39"/>
    </row>
    <row r="1194" ht="15.75" customHeight="1">
      <c r="C1194" s="39"/>
      <c r="J1194" s="26"/>
      <c r="K1194" s="151"/>
      <c r="L1194" s="151"/>
      <c r="M1194" s="151"/>
      <c r="N1194" s="151"/>
      <c r="O1194" s="151"/>
      <c r="P1194" s="151"/>
      <c r="Q1194" s="151"/>
      <c r="R1194" s="39"/>
      <c r="S1194" s="39"/>
      <c r="T1194" s="39"/>
      <c r="U1194" s="39"/>
      <c r="V1194" s="39"/>
      <c r="W1194" s="39"/>
      <c r="X1194" s="39"/>
      <c r="Y1194" s="39"/>
      <c r="Z1194" s="39"/>
      <c r="AA1194" s="39"/>
    </row>
    <row r="1195" ht="15.75" customHeight="1">
      <c r="C1195" s="39"/>
      <c r="J1195" s="26"/>
      <c r="K1195" s="151"/>
      <c r="L1195" s="151"/>
      <c r="M1195" s="151"/>
      <c r="N1195" s="151"/>
      <c r="O1195" s="151"/>
      <c r="P1195" s="151"/>
      <c r="Q1195" s="151"/>
      <c r="R1195" s="39"/>
      <c r="S1195" s="39"/>
      <c r="T1195" s="39"/>
      <c r="U1195" s="39"/>
      <c r="V1195" s="39"/>
      <c r="W1195" s="39"/>
      <c r="X1195" s="39"/>
      <c r="Y1195" s="39"/>
      <c r="Z1195" s="39"/>
      <c r="AA1195" s="39"/>
    </row>
    <row r="1196" ht="15.75" customHeight="1">
      <c r="C1196" s="39"/>
      <c r="J1196" s="26"/>
      <c r="K1196" s="151"/>
      <c r="L1196" s="151"/>
      <c r="M1196" s="151"/>
      <c r="N1196" s="151"/>
      <c r="O1196" s="151"/>
      <c r="P1196" s="151"/>
      <c r="Q1196" s="151"/>
      <c r="R1196" s="39"/>
      <c r="S1196" s="39"/>
      <c r="T1196" s="39"/>
      <c r="U1196" s="39"/>
      <c r="V1196" s="39"/>
      <c r="W1196" s="39"/>
      <c r="X1196" s="39"/>
      <c r="Y1196" s="39"/>
      <c r="Z1196" s="39"/>
      <c r="AA1196" s="39"/>
    </row>
    <row r="1197" ht="15.75" customHeight="1">
      <c r="C1197" s="39"/>
      <c r="J1197" s="26"/>
      <c r="K1197" s="151"/>
      <c r="L1197" s="151"/>
      <c r="M1197" s="151"/>
      <c r="N1197" s="151"/>
      <c r="O1197" s="151"/>
      <c r="P1197" s="151"/>
      <c r="Q1197" s="151"/>
      <c r="R1197" s="39"/>
      <c r="S1197" s="39"/>
      <c r="T1197" s="39"/>
      <c r="U1197" s="39"/>
      <c r="V1197" s="39"/>
      <c r="W1197" s="39"/>
      <c r="X1197" s="39"/>
      <c r="Y1197" s="39"/>
      <c r="Z1197" s="39"/>
      <c r="AA1197" s="39"/>
    </row>
    <row r="1198" ht="15.75" customHeight="1">
      <c r="C1198" s="39"/>
      <c r="J1198" s="26"/>
      <c r="K1198" s="151"/>
      <c r="L1198" s="151"/>
      <c r="M1198" s="151"/>
      <c r="N1198" s="151"/>
      <c r="O1198" s="151"/>
      <c r="P1198" s="151"/>
      <c r="Q1198" s="151"/>
      <c r="R1198" s="39"/>
      <c r="S1198" s="39"/>
      <c r="T1198" s="39"/>
      <c r="U1198" s="39"/>
      <c r="V1198" s="39"/>
      <c r="W1198" s="39"/>
      <c r="X1198" s="39"/>
      <c r="Y1198" s="39"/>
      <c r="Z1198" s="39"/>
      <c r="AA1198" s="39"/>
    </row>
    <row r="1199" ht="15.75" customHeight="1">
      <c r="C1199" s="39"/>
      <c r="J1199" s="26"/>
      <c r="K1199" s="151"/>
      <c r="L1199" s="151"/>
      <c r="M1199" s="151"/>
      <c r="N1199" s="151"/>
      <c r="O1199" s="151"/>
      <c r="P1199" s="151"/>
      <c r="Q1199" s="151"/>
      <c r="R1199" s="39"/>
      <c r="S1199" s="39"/>
      <c r="T1199" s="39"/>
      <c r="U1199" s="39"/>
      <c r="V1199" s="39"/>
      <c r="W1199" s="39"/>
      <c r="X1199" s="39"/>
      <c r="Y1199" s="39"/>
      <c r="Z1199" s="39"/>
      <c r="AA1199" s="39"/>
    </row>
    <row r="1200" ht="15.75" customHeight="1">
      <c r="C1200" s="39"/>
      <c r="J1200" s="26"/>
      <c r="K1200" s="151"/>
      <c r="L1200" s="151"/>
      <c r="M1200" s="151"/>
      <c r="N1200" s="151"/>
      <c r="O1200" s="151"/>
      <c r="P1200" s="151"/>
      <c r="Q1200" s="151"/>
      <c r="R1200" s="39"/>
      <c r="S1200" s="39"/>
      <c r="T1200" s="39"/>
      <c r="U1200" s="39"/>
      <c r="V1200" s="39"/>
      <c r="W1200" s="39"/>
      <c r="X1200" s="39"/>
      <c r="Y1200" s="39"/>
      <c r="Z1200" s="39"/>
      <c r="AA1200" s="39"/>
    </row>
    <row r="1201" ht="15.75" customHeight="1">
      <c r="C1201" s="39"/>
      <c r="J1201" s="26"/>
      <c r="K1201" s="151"/>
      <c r="L1201" s="151"/>
      <c r="M1201" s="151"/>
      <c r="N1201" s="151"/>
      <c r="O1201" s="151"/>
      <c r="P1201" s="151"/>
      <c r="Q1201" s="151"/>
      <c r="R1201" s="39"/>
      <c r="S1201" s="39"/>
      <c r="T1201" s="39"/>
      <c r="U1201" s="39"/>
      <c r="V1201" s="39"/>
      <c r="W1201" s="39"/>
      <c r="X1201" s="39"/>
      <c r="Y1201" s="39"/>
      <c r="Z1201" s="39"/>
      <c r="AA1201" s="39"/>
    </row>
    <row r="1202" ht="15.75" customHeight="1">
      <c r="C1202" s="39"/>
      <c r="J1202" s="26"/>
      <c r="K1202" s="151"/>
      <c r="L1202" s="151"/>
      <c r="M1202" s="151"/>
      <c r="N1202" s="151"/>
      <c r="O1202" s="151"/>
      <c r="P1202" s="151"/>
      <c r="Q1202" s="151"/>
      <c r="R1202" s="39"/>
      <c r="S1202" s="39"/>
      <c r="T1202" s="39"/>
      <c r="U1202" s="39"/>
      <c r="V1202" s="39"/>
      <c r="W1202" s="39"/>
      <c r="X1202" s="39"/>
      <c r="Y1202" s="39"/>
      <c r="Z1202" s="39"/>
      <c r="AA1202" s="39"/>
    </row>
    <row r="1203" ht="15.75" customHeight="1">
      <c r="C1203" s="39"/>
      <c r="J1203" s="26"/>
      <c r="K1203" s="151"/>
      <c r="L1203" s="151"/>
      <c r="M1203" s="151"/>
      <c r="N1203" s="151"/>
      <c r="O1203" s="151"/>
      <c r="P1203" s="151"/>
      <c r="Q1203" s="151"/>
      <c r="R1203" s="39"/>
      <c r="S1203" s="39"/>
      <c r="T1203" s="39"/>
      <c r="U1203" s="39"/>
      <c r="V1203" s="39"/>
      <c r="W1203" s="39"/>
      <c r="X1203" s="39"/>
      <c r="Y1203" s="39"/>
      <c r="Z1203" s="39"/>
      <c r="AA1203" s="39"/>
    </row>
    <row r="1204" ht="15.75" customHeight="1">
      <c r="C1204" s="39"/>
      <c r="J1204" s="26"/>
      <c r="K1204" s="151"/>
      <c r="L1204" s="151"/>
      <c r="M1204" s="151"/>
      <c r="N1204" s="151"/>
      <c r="O1204" s="151"/>
      <c r="P1204" s="151"/>
      <c r="Q1204" s="151"/>
      <c r="R1204" s="39"/>
      <c r="S1204" s="39"/>
      <c r="T1204" s="39"/>
      <c r="U1204" s="39"/>
      <c r="V1204" s="39"/>
      <c r="W1204" s="39"/>
      <c r="X1204" s="39"/>
      <c r="Y1204" s="39"/>
      <c r="Z1204" s="39"/>
      <c r="AA1204" s="39"/>
    </row>
    <row r="1205" ht="15.75" customHeight="1">
      <c r="C1205" s="39"/>
      <c r="J1205" s="26"/>
      <c r="K1205" s="151"/>
      <c r="L1205" s="151"/>
      <c r="M1205" s="151"/>
      <c r="N1205" s="151"/>
      <c r="O1205" s="151"/>
      <c r="P1205" s="151"/>
      <c r="Q1205" s="151"/>
      <c r="R1205" s="39"/>
      <c r="S1205" s="39"/>
      <c r="T1205" s="39"/>
      <c r="U1205" s="39"/>
      <c r="V1205" s="39"/>
      <c r="W1205" s="39"/>
      <c r="X1205" s="39"/>
      <c r="Y1205" s="39"/>
      <c r="Z1205" s="39"/>
      <c r="AA1205" s="39"/>
    </row>
    <row r="1206" ht="15.75" customHeight="1">
      <c r="C1206" s="39"/>
      <c r="J1206" s="26"/>
      <c r="K1206" s="151"/>
      <c r="L1206" s="151"/>
      <c r="M1206" s="151"/>
      <c r="N1206" s="151"/>
      <c r="O1206" s="151"/>
      <c r="P1206" s="151"/>
      <c r="Q1206" s="151"/>
      <c r="R1206" s="39"/>
      <c r="S1206" s="39"/>
      <c r="T1206" s="39"/>
      <c r="U1206" s="39"/>
      <c r="V1206" s="39"/>
      <c r="W1206" s="39"/>
      <c r="X1206" s="39"/>
      <c r="Y1206" s="39"/>
      <c r="Z1206" s="39"/>
      <c r="AA1206" s="39"/>
    </row>
    <row r="1207" ht="15.75" customHeight="1">
      <c r="C1207" s="39"/>
      <c r="J1207" s="26"/>
      <c r="K1207" s="151"/>
      <c r="L1207" s="151"/>
      <c r="M1207" s="151"/>
      <c r="N1207" s="151"/>
      <c r="O1207" s="151"/>
      <c r="P1207" s="151"/>
      <c r="Q1207" s="151"/>
      <c r="R1207" s="39"/>
      <c r="S1207" s="39"/>
      <c r="T1207" s="39"/>
      <c r="U1207" s="39"/>
      <c r="V1207" s="39"/>
      <c r="W1207" s="39"/>
      <c r="X1207" s="39"/>
      <c r="Y1207" s="39"/>
      <c r="Z1207" s="39"/>
      <c r="AA1207" s="39"/>
    </row>
    <row r="1208" ht="15.75" customHeight="1">
      <c r="C1208" s="39"/>
      <c r="J1208" s="26"/>
      <c r="K1208" s="151"/>
      <c r="L1208" s="151"/>
      <c r="M1208" s="151"/>
      <c r="N1208" s="151"/>
      <c r="O1208" s="151"/>
      <c r="P1208" s="151"/>
      <c r="Q1208" s="151"/>
      <c r="R1208" s="39"/>
      <c r="S1208" s="39"/>
      <c r="T1208" s="39"/>
      <c r="U1208" s="39"/>
      <c r="V1208" s="39"/>
      <c r="W1208" s="39"/>
      <c r="X1208" s="39"/>
      <c r="Y1208" s="39"/>
      <c r="Z1208" s="39"/>
      <c r="AA1208" s="39"/>
    </row>
    <row r="1209" ht="15.75" customHeight="1">
      <c r="C1209" s="39"/>
      <c r="J1209" s="26"/>
      <c r="K1209" s="151"/>
      <c r="L1209" s="151"/>
      <c r="M1209" s="151"/>
      <c r="N1209" s="151"/>
      <c r="O1209" s="151"/>
      <c r="P1209" s="151"/>
      <c r="Q1209" s="151"/>
      <c r="R1209" s="39"/>
      <c r="S1209" s="39"/>
      <c r="T1209" s="39"/>
      <c r="U1209" s="39"/>
      <c r="V1209" s="39"/>
      <c r="W1209" s="39"/>
      <c r="X1209" s="39"/>
      <c r="Y1209" s="39"/>
      <c r="Z1209" s="39"/>
      <c r="AA1209" s="39"/>
    </row>
    <row r="1210" ht="15.75" customHeight="1">
      <c r="C1210" s="39"/>
      <c r="J1210" s="26"/>
      <c r="K1210" s="151"/>
      <c r="L1210" s="151"/>
      <c r="M1210" s="151"/>
      <c r="N1210" s="151"/>
      <c r="O1210" s="151"/>
      <c r="P1210" s="151"/>
      <c r="Q1210" s="151"/>
      <c r="R1210" s="39"/>
      <c r="S1210" s="39"/>
      <c r="T1210" s="39"/>
      <c r="U1210" s="39"/>
      <c r="V1210" s="39"/>
      <c r="W1210" s="39"/>
      <c r="X1210" s="39"/>
      <c r="Y1210" s="39"/>
      <c r="Z1210" s="39"/>
      <c r="AA1210" s="39"/>
    </row>
    <row r="1211" ht="15.75" customHeight="1">
      <c r="C1211" s="39"/>
      <c r="J1211" s="26"/>
      <c r="K1211" s="151"/>
      <c r="L1211" s="151"/>
      <c r="M1211" s="151"/>
      <c r="N1211" s="151"/>
      <c r="O1211" s="151"/>
      <c r="P1211" s="151"/>
      <c r="Q1211" s="151"/>
      <c r="R1211" s="39"/>
      <c r="S1211" s="39"/>
      <c r="T1211" s="39"/>
      <c r="U1211" s="39"/>
      <c r="V1211" s="39"/>
      <c r="W1211" s="39"/>
      <c r="X1211" s="39"/>
      <c r="Y1211" s="39"/>
      <c r="Z1211" s="39"/>
      <c r="AA1211" s="39"/>
    </row>
    <row r="1212" ht="15.75" customHeight="1">
      <c r="C1212" s="39"/>
      <c r="J1212" s="26"/>
      <c r="K1212" s="151"/>
      <c r="L1212" s="151"/>
      <c r="M1212" s="151"/>
      <c r="N1212" s="151"/>
      <c r="O1212" s="151"/>
      <c r="P1212" s="151"/>
      <c r="Q1212" s="151"/>
      <c r="R1212" s="39"/>
      <c r="S1212" s="39"/>
      <c r="T1212" s="39"/>
      <c r="U1212" s="39"/>
      <c r="V1212" s="39"/>
      <c r="W1212" s="39"/>
      <c r="X1212" s="39"/>
      <c r="Y1212" s="39"/>
      <c r="Z1212" s="39"/>
      <c r="AA1212" s="39"/>
    </row>
    <row r="1213" ht="15.75" customHeight="1">
      <c r="C1213" s="39"/>
      <c r="J1213" s="26"/>
      <c r="K1213" s="151"/>
      <c r="L1213" s="151"/>
      <c r="M1213" s="151"/>
      <c r="N1213" s="151"/>
      <c r="O1213" s="151"/>
      <c r="P1213" s="151"/>
      <c r="Q1213" s="151"/>
      <c r="R1213" s="39"/>
      <c r="S1213" s="39"/>
      <c r="T1213" s="39"/>
      <c r="U1213" s="39"/>
      <c r="V1213" s="39"/>
      <c r="W1213" s="39"/>
      <c r="X1213" s="39"/>
      <c r="Y1213" s="39"/>
      <c r="Z1213" s="39"/>
      <c r="AA1213" s="39"/>
    </row>
    <row r="1214" ht="15.75" customHeight="1">
      <c r="C1214" s="39"/>
      <c r="J1214" s="26"/>
      <c r="K1214" s="151"/>
      <c r="L1214" s="151"/>
      <c r="M1214" s="151"/>
      <c r="N1214" s="151"/>
      <c r="O1214" s="151"/>
      <c r="P1214" s="151"/>
      <c r="Q1214" s="151"/>
      <c r="R1214" s="39"/>
      <c r="S1214" s="39"/>
      <c r="T1214" s="39"/>
      <c r="U1214" s="39"/>
      <c r="V1214" s="39"/>
      <c r="W1214" s="39"/>
      <c r="X1214" s="39"/>
      <c r="Y1214" s="39"/>
      <c r="Z1214" s="39"/>
      <c r="AA1214" s="39"/>
    </row>
    <row r="1215" ht="15.75" customHeight="1">
      <c r="C1215" s="39"/>
      <c r="J1215" s="26"/>
      <c r="K1215" s="151"/>
      <c r="L1215" s="151"/>
      <c r="M1215" s="151"/>
      <c r="N1215" s="151"/>
      <c r="O1215" s="151"/>
      <c r="P1215" s="151"/>
      <c r="Q1215" s="151"/>
      <c r="R1215" s="39"/>
      <c r="S1215" s="39"/>
      <c r="T1215" s="39"/>
      <c r="U1215" s="39"/>
      <c r="V1215" s="39"/>
      <c r="W1215" s="39"/>
      <c r="X1215" s="39"/>
      <c r="Y1215" s="39"/>
      <c r="Z1215" s="39"/>
      <c r="AA1215" s="39"/>
    </row>
    <row r="1216" ht="15.75" customHeight="1">
      <c r="C1216" s="39"/>
      <c r="J1216" s="26"/>
      <c r="K1216" s="151"/>
      <c r="L1216" s="151"/>
      <c r="M1216" s="151"/>
      <c r="N1216" s="151"/>
      <c r="O1216" s="151"/>
      <c r="P1216" s="151"/>
      <c r="Q1216" s="151"/>
      <c r="R1216" s="39"/>
      <c r="S1216" s="39"/>
      <c r="T1216" s="39"/>
      <c r="U1216" s="39"/>
      <c r="V1216" s="39"/>
      <c r="W1216" s="39"/>
      <c r="X1216" s="39"/>
      <c r="Y1216" s="39"/>
      <c r="Z1216" s="39"/>
      <c r="AA1216" s="39"/>
    </row>
    <row r="1217" ht="15.75" customHeight="1">
      <c r="C1217" s="39"/>
      <c r="J1217" s="26"/>
      <c r="K1217" s="151"/>
      <c r="L1217" s="151"/>
      <c r="M1217" s="151"/>
      <c r="N1217" s="151"/>
      <c r="O1217" s="151"/>
      <c r="P1217" s="151"/>
      <c r="Q1217" s="151"/>
      <c r="R1217" s="39"/>
      <c r="S1217" s="39"/>
      <c r="T1217" s="39"/>
      <c r="U1217" s="39"/>
      <c r="V1217" s="39"/>
      <c r="W1217" s="39"/>
      <c r="X1217" s="39"/>
      <c r="Y1217" s="39"/>
      <c r="Z1217" s="39"/>
      <c r="AA1217" s="39"/>
    </row>
    <row r="1218" ht="15.75" customHeight="1">
      <c r="C1218" s="39"/>
      <c r="J1218" s="26"/>
      <c r="K1218" s="151"/>
      <c r="L1218" s="151"/>
      <c r="M1218" s="151"/>
      <c r="N1218" s="151"/>
      <c r="O1218" s="151"/>
      <c r="P1218" s="151"/>
      <c r="Q1218" s="151"/>
      <c r="R1218" s="39"/>
      <c r="S1218" s="39"/>
      <c r="T1218" s="39"/>
      <c r="U1218" s="39"/>
      <c r="V1218" s="39"/>
      <c r="W1218" s="39"/>
      <c r="X1218" s="39"/>
      <c r="Y1218" s="39"/>
      <c r="Z1218" s="39"/>
      <c r="AA1218" s="39"/>
    </row>
    <row r="1219" ht="15.75" customHeight="1">
      <c r="C1219" s="39"/>
      <c r="J1219" s="26"/>
      <c r="K1219" s="151"/>
      <c r="L1219" s="151"/>
      <c r="M1219" s="151"/>
      <c r="N1219" s="151"/>
      <c r="O1219" s="151"/>
      <c r="P1219" s="151"/>
      <c r="Q1219" s="151"/>
      <c r="R1219" s="39"/>
      <c r="S1219" s="39"/>
      <c r="T1219" s="39"/>
      <c r="U1219" s="39"/>
      <c r="V1219" s="39"/>
      <c r="W1219" s="39"/>
      <c r="X1219" s="39"/>
      <c r="Y1219" s="39"/>
      <c r="Z1219" s="39"/>
      <c r="AA1219" s="39"/>
    </row>
    <row r="1220" ht="15.75" customHeight="1">
      <c r="C1220" s="39"/>
      <c r="J1220" s="26"/>
      <c r="K1220" s="151"/>
      <c r="L1220" s="151"/>
      <c r="M1220" s="151"/>
      <c r="N1220" s="151"/>
      <c r="O1220" s="151"/>
      <c r="P1220" s="151"/>
      <c r="Q1220" s="151"/>
      <c r="R1220" s="39"/>
      <c r="S1220" s="39"/>
      <c r="T1220" s="39"/>
      <c r="U1220" s="39"/>
      <c r="V1220" s="39"/>
      <c r="W1220" s="39"/>
      <c r="X1220" s="39"/>
      <c r="Y1220" s="39"/>
      <c r="Z1220" s="39"/>
      <c r="AA1220" s="39"/>
    </row>
    <row r="1221" ht="15.75" customHeight="1">
      <c r="C1221" s="39"/>
      <c r="J1221" s="26"/>
      <c r="K1221" s="151"/>
      <c r="L1221" s="151"/>
      <c r="M1221" s="151"/>
      <c r="N1221" s="151"/>
      <c r="O1221" s="151"/>
      <c r="P1221" s="151"/>
      <c r="Q1221" s="151"/>
      <c r="R1221" s="39"/>
      <c r="S1221" s="39"/>
      <c r="T1221" s="39"/>
      <c r="U1221" s="39"/>
      <c r="V1221" s="39"/>
      <c r="W1221" s="39"/>
      <c r="X1221" s="39"/>
      <c r="Y1221" s="39"/>
      <c r="Z1221" s="39"/>
      <c r="AA1221" s="39"/>
    </row>
    <row r="1222" ht="15.75" customHeight="1">
      <c r="C1222" s="39"/>
      <c r="J1222" s="26"/>
      <c r="K1222" s="151"/>
      <c r="L1222" s="151"/>
      <c r="M1222" s="151"/>
      <c r="N1222" s="151"/>
      <c r="O1222" s="151"/>
      <c r="P1222" s="151"/>
      <c r="Q1222" s="151"/>
      <c r="R1222" s="39"/>
      <c r="S1222" s="39"/>
      <c r="T1222" s="39"/>
      <c r="U1222" s="39"/>
      <c r="V1222" s="39"/>
      <c r="W1222" s="39"/>
      <c r="X1222" s="39"/>
      <c r="Y1222" s="39"/>
      <c r="Z1222" s="39"/>
      <c r="AA1222" s="39"/>
    </row>
    <row r="1223" ht="15.75" customHeight="1">
      <c r="C1223" s="39"/>
      <c r="J1223" s="26"/>
      <c r="K1223" s="151"/>
      <c r="L1223" s="151"/>
      <c r="M1223" s="151"/>
      <c r="N1223" s="151"/>
      <c r="O1223" s="151"/>
      <c r="P1223" s="151"/>
      <c r="Q1223" s="151"/>
      <c r="R1223" s="39"/>
      <c r="S1223" s="39"/>
      <c r="T1223" s="39"/>
      <c r="U1223" s="39"/>
      <c r="V1223" s="39"/>
      <c r="W1223" s="39"/>
      <c r="X1223" s="39"/>
      <c r="Y1223" s="39"/>
      <c r="Z1223" s="39"/>
      <c r="AA1223" s="39"/>
    </row>
    <row r="1224" ht="15.75" customHeight="1">
      <c r="C1224" s="151"/>
      <c r="J1224" s="26"/>
      <c r="K1224" s="151"/>
      <c r="L1224" s="151"/>
      <c r="M1224" s="151"/>
      <c r="N1224" s="151"/>
      <c r="O1224" s="151"/>
      <c r="P1224" s="151"/>
      <c r="Q1224" s="151"/>
      <c r="R1224" s="39"/>
      <c r="S1224" s="39"/>
      <c r="T1224" s="39"/>
      <c r="U1224" s="39"/>
      <c r="V1224" s="39"/>
      <c r="W1224" s="39"/>
      <c r="X1224" s="39"/>
      <c r="Y1224" s="39"/>
      <c r="Z1224" s="39"/>
      <c r="AA1224" s="39"/>
    </row>
    <row r="1225" ht="15.75" customHeight="1">
      <c r="C1225" s="151"/>
      <c r="J1225" s="26"/>
      <c r="K1225" s="151"/>
      <c r="L1225" s="151"/>
      <c r="M1225" s="151"/>
      <c r="N1225" s="151"/>
      <c r="O1225" s="151"/>
      <c r="P1225" s="151"/>
      <c r="Q1225" s="151"/>
      <c r="R1225" s="39"/>
      <c r="S1225" s="39"/>
      <c r="T1225" s="39"/>
      <c r="U1225" s="39"/>
      <c r="V1225" s="39"/>
      <c r="W1225" s="39"/>
      <c r="X1225" s="39"/>
      <c r="Y1225" s="39"/>
      <c r="Z1225" s="39"/>
      <c r="AA1225" s="39"/>
    </row>
    <row r="1226" ht="15.75" customHeight="1">
      <c r="C1226" s="151"/>
      <c r="J1226" s="26"/>
      <c r="K1226" s="151"/>
      <c r="L1226" s="151"/>
      <c r="M1226" s="151"/>
      <c r="N1226" s="151"/>
      <c r="O1226" s="151"/>
      <c r="P1226" s="151"/>
      <c r="Q1226" s="151"/>
      <c r="R1226" s="39"/>
      <c r="S1226" s="39"/>
      <c r="T1226" s="39"/>
      <c r="U1226" s="39"/>
      <c r="V1226" s="39"/>
      <c r="W1226" s="39"/>
      <c r="X1226" s="39"/>
      <c r="Y1226" s="39"/>
      <c r="Z1226" s="39"/>
      <c r="AA1226" s="39"/>
    </row>
    <row r="1227" ht="15.75" customHeight="1">
      <c r="C1227" s="151"/>
      <c r="J1227" s="26"/>
      <c r="K1227" s="151"/>
      <c r="L1227" s="151"/>
      <c r="M1227" s="151"/>
      <c r="N1227" s="151"/>
      <c r="O1227" s="151"/>
      <c r="P1227" s="151"/>
      <c r="Q1227" s="151"/>
      <c r="R1227" s="39"/>
      <c r="S1227" s="39"/>
      <c r="T1227" s="39"/>
      <c r="U1227" s="39"/>
      <c r="V1227" s="39"/>
      <c r="W1227" s="39"/>
      <c r="X1227" s="39"/>
      <c r="Y1227" s="39"/>
      <c r="Z1227" s="39"/>
      <c r="AA1227" s="39"/>
    </row>
    <row r="1228" ht="15.75" customHeight="1">
      <c r="C1228" s="151"/>
      <c r="J1228" s="26"/>
      <c r="K1228" s="151"/>
      <c r="L1228" s="151"/>
      <c r="M1228" s="151"/>
      <c r="N1228" s="151"/>
      <c r="O1228" s="151"/>
      <c r="P1228" s="151"/>
      <c r="Q1228" s="151"/>
      <c r="R1228" s="39"/>
      <c r="S1228" s="39"/>
      <c r="T1228" s="39"/>
      <c r="U1228" s="39"/>
      <c r="V1228" s="39"/>
      <c r="W1228" s="39"/>
      <c r="X1228" s="39"/>
      <c r="Y1228" s="39"/>
      <c r="Z1228" s="39"/>
      <c r="AA1228" s="39"/>
    </row>
    <row r="1229" ht="15.75" customHeight="1">
      <c r="C1229" s="151"/>
      <c r="J1229" s="26"/>
      <c r="K1229" s="151"/>
      <c r="L1229" s="151"/>
      <c r="M1229" s="151"/>
      <c r="N1229" s="151"/>
      <c r="O1229" s="151"/>
      <c r="P1229" s="151"/>
      <c r="Q1229" s="151"/>
      <c r="R1229" s="39"/>
      <c r="S1229" s="39"/>
      <c r="T1229" s="39"/>
      <c r="U1229" s="39"/>
      <c r="V1229" s="39"/>
      <c r="W1229" s="39"/>
      <c r="X1229" s="39"/>
      <c r="Y1229" s="39"/>
      <c r="Z1229" s="39"/>
      <c r="AA1229" s="39"/>
    </row>
    <row r="1230" ht="15.75" customHeight="1">
      <c r="C1230" s="151"/>
      <c r="J1230" s="26"/>
      <c r="K1230" s="151"/>
      <c r="L1230" s="151"/>
      <c r="M1230" s="151"/>
      <c r="N1230" s="151"/>
      <c r="O1230" s="151"/>
      <c r="P1230" s="151"/>
      <c r="Q1230" s="151"/>
      <c r="R1230" s="39"/>
      <c r="S1230" s="39"/>
      <c r="T1230" s="39"/>
      <c r="U1230" s="39"/>
      <c r="V1230" s="39"/>
      <c r="W1230" s="39"/>
      <c r="X1230" s="39"/>
      <c r="Y1230" s="39"/>
      <c r="Z1230" s="39"/>
      <c r="AA1230" s="39"/>
    </row>
    <row r="1231" ht="15.75" customHeight="1">
      <c r="C1231" s="151"/>
      <c r="J1231" s="26"/>
      <c r="K1231" s="151"/>
      <c r="L1231" s="151"/>
      <c r="M1231" s="151"/>
      <c r="N1231" s="151"/>
      <c r="O1231" s="151"/>
      <c r="P1231" s="151"/>
      <c r="Q1231" s="151"/>
      <c r="R1231" s="39"/>
      <c r="S1231" s="39"/>
      <c r="T1231" s="39"/>
      <c r="U1231" s="39"/>
      <c r="V1231" s="39"/>
      <c r="W1231" s="39"/>
      <c r="X1231" s="39"/>
      <c r="Y1231" s="39"/>
      <c r="Z1231" s="39"/>
      <c r="AA1231" s="39"/>
    </row>
    <row r="1232" ht="15.75" customHeight="1">
      <c r="C1232" s="151"/>
      <c r="J1232" s="26"/>
      <c r="K1232" s="151"/>
      <c r="L1232" s="151"/>
      <c r="M1232" s="151"/>
      <c r="N1232" s="151"/>
      <c r="O1232" s="151"/>
      <c r="P1232" s="151"/>
      <c r="Q1232" s="151"/>
      <c r="R1232" s="39"/>
      <c r="S1232" s="39"/>
      <c r="T1232" s="39"/>
      <c r="U1232" s="39"/>
      <c r="V1232" s="39"/>
      <c r="W1232" s="39"/>
      <c r="X1232" s="39"/>
      <c r="Y1232" s="39"/>
      <c r="Z1232" s="39"/>
      <c r="AA1232" s="39"/>
    </row>
    <row r="1233" ht="15.75" customHeight="1">
      <c r="C1233" s="151"/>
      <c r="J1233" s="26"/>
      <c r="K1233" s="151"/>
      <c r="L1233" s="151"/>
      <c r="M1233" s="151"/>
      <c r="N1233" s="151"/>
      <c r="O1233" s="151"/>
      <c r="P1233" s="151"/>
      <c r="Q1233" s="151"/>
      <c r="R1233" s="39"/>
      <c r="S1233" s="39"/>
      <c r="T1233" s="39"/>
      <c r="U1233" s="39"/>
      <c r="V1233" s="39"/>
      <c r="W1233" s="39"/>
      <c r="X1233" s="39"/>
      <c r="Y1233" s="39"/>
      <c r="Z1233" s="39"/>
      <c r="AA1233" s="39"/>
    </row>
    <row r="1234" ht="15.75" customHeight="1">
      <c r="C1234" s="151"/>
      <c r="J1234" s="26"/>
      <c r="K1234" s="151"/>
      <c r="L1234" s="151"/>
      <c r="M1234" s="151"/>
      <c r="N1234" s="151"/>
      <c r="O1234" s="151"/>
      <c r="P1234" s="151"/>
      <c r="Q1234" s="151"/>
      <c r="R1234" s="39"/>
      <c r="S1234" s="39"/>
      <c r="T1234" s="39"/>
      <c r="U1234" s="39"/>
      <c r="V1234" s="39"/>
      <c r="W1234" s="39"/>
      <c r="X1234" s="39"/>
      <c r="Y1234" s="39"/>
      <c r="Z1234" s="39"/>
      <c r="AA1234" s="39"/>
    </row>
    <row r="1235" ht="15.75" customHeight="1">
      <c r="C1235" s="151"/>
      <c r="J1235" s="26"/>
      <c r="K1235" s="151"/>
      <c r="L1235" s="151"/>
      <c r="M1235" s="151"/>
      <c r="N1235" s="151"/>
      <c r="O1235" s="151"/>
      <c r="P1235" s="151"/>
      <c r="Q1235" s="151"/>
      <c r="R1235" s="39"/>
      <c r="S1235" s="39"/>
      <c r="T1235" s="39"/>
      <c r="U1235" s="39"/>
      <c r="V1235" s="39"/>
      <c r="W1235" s="39"/>
      <c r="X1235" s="39"/>
      <c r="Y1235" s="39"/>
      <c r="Z1235" s="39"/>
      <c r="AA1235" s="39"/>
    </row>
    <row r="1236" ht="15.75" customHeight="1">
      <c r="C1236" s="151"/>
      <c r="J1236" s="26"/>
      <c r="K1236" s="151"/>
      <c r="L1236" s="151"/>
      <c r="M1236" s="151"/>
      <c r="N1236" s="151"/>
      <c r="O1236" s="151"/>
      <c r="P1236" s="151"/>
      <c r="Q1236" s="151"/>
      <c r="R1236" s="39"/>
      <c r="S1236" s="39"/>
      <c r="T1236" s="39"/>
      <c r="U1236" s="39"/>
      <c r="V1236" s="39"/>
      <c r="W1236" s="39"/>
      <c r="X1236" s="39"/>
      <c r="Y1236" s="39"/>
      <c r="Z1236" s="39"/>
      <c r="AA1236" s="39"/>
    </row>
    <row r="1237" ht="15.75" customHeight="1">
      <c r="C1237" s="151"/>
      <c r="J1237" s="26"/>
      <c r="K1237" s="151"/>
      <c r="L1237" s="151"/>
      <c r="M1237" s="151"/>
      <c r="N1237" s="151"/>
      <c r="O1237" s="151"/>
      <c r="P1237" s="151"/>
      <c r="Q1237" s="151"/>
      <c r="R1237" s="39"/>
      <c r="S1237" s="39"/>
      <c r="T1237" s="39"/>
      <c r="U1237" s="39"/>
      <c r="V1237" s="39"/>
      <c r="W1237" s="39"/>
      <c r="X1237" s="39"/>
      <c r="Y1237" s="39"/>
      <c r="Z1237" s="39"/>
      <c r="AA1237" s="39"/>
    </row>
    <row r="1238" ht="15.75" customHeight="1">
      <c r="C1238" s="151"/>
      <c r="J1238" s="26"/>
      <c r="K1238" s="151"/>
      <c r="L1238" s="151"/>
      <c r="M1238" s="151"/>
      <c r="N1238" s="151"/>
      <c r="O1238" s="151"/>
      <c r="P1238" s="151"/>
      <c r="Q1238" s="151"/>
      <c r="R1238" s="39"/>
      <c r="S1238" s="39"/>
      <c r="T1238" s="39"/>
      <c r="U1238" s="39"/>
      <c r="V1238" s="39"/>
      <c r="W1238" s="39"/>
      <c r="X1238" s="39"/>
      <c r="Y1238" s="39"/>
      <c r="Z1238" s="39"/>
      <c r="AA1238" s="39"/>
    </row>
    <row r="1239" ht="15.75" customHeight="1">
      <c r="C1239" s="151"/>
      <c r="J1239" s="26"/>
      <c r="K1239" s="151"/>
      <c r="L1239" s="151"/>
      <c r="M1239" s="151"/>
      <c r="N1239" s="151"/>
      <c r="O1239" s="151"/>
      <c r="P1239" s="151"/>
      <c r="Q1239" s="151"/>
      <c r="R1239" s="39"/>
      <c r="S1239" s="39"/>
      <c r="T1239" s="39"/>
      <c r="U1239" s="39"/>
      <c r="V1239" s="39"/>
      <c r="W1239" s="39"/>
      <c r="X1239" s="39"/>
      <c r="Y1239" s="39"/>
      <c r="Z1239" s="39"/>
      <c r="AA1239" s="39"/>
    </row>
    <row r="1240" ht="15.75" customHeight="1">
      <c r="C1240" s="151"/>
      <c r="J1240" s="26"/>
      <c r="K1240" s="151"/>
      <c r="L1240" s="151"/>
      <c r="M1240" s="151"/>
      <c r="N1240" s="151"/>
      <c r="O1240" s="151"/>
      <c r="P1240" s="151"/>
      <c r="Q1240" s="151"/>
      <c r="R1240" s="39"/>
      <c r="S1240" s="39"/>
      <c r="T1240" s="39"/>
      <c r="U1240" s="39"/>
      <c r="V1240" s="39"/>
      <c r="W1240" s="39"/>
      <c r="X1240" s="39"/>
      <c r="Y1240" s="39"/>
      <c r="Z1240" s="39"/>
      <c r="AA1240" s="39"/>
    </row>
    <row r="1241" ht="15.75" customHeight="1">
      <c r="C1241" s="151"/>
      <c r="J1241" s="26"/>
      <c r="K1241" s="151"/>
      <c r="L1241" s="151"/>
      <c r="M1241" s="151"/>
      <c r="N1241" s="151"/>
      <c r="O1241" s="151"/>
      <c r="P1241" s="151"/>
      <c r="Q1241" s="151"/>
      <c r="R1241" s="39"/>
      <c r="S1241" s="39"/>
      <c r="T1241" s="39"/>
      <c r="U1241" s="39"/>
      <c r="V1241" s="39"/>
      <c r="W1241" s="39"/>
      <c r="X1241" s="39"/>
      <c r="Y1241" s="39"/>
      <c r="Z1241" s="39"/>
      <c r="AA1241" s="39"/>
    </row>
    <row r="1242" ht="15.75" customHeight="1">
      <c r="C1242" s="151"/>
      <c r="J1242" s="26"/>
      <c r="K1242" s="151"/>
      <c r="L1242" s="151"/>
      <c r="M1242" s="151"/>
      <c r="N1242" s="151"/>
      <c r="O1242" s="151"/>
      <c r="P1242" s="151"/>
      <c r="Q1242" s="151"/>
      <c r="R1242" s="39"/>
      <c r="S1242" s="39"/>
      <c r="T1242" s="39"/>
      <c r="U1242" s="39"/>
      <c r="V1242" s="39"/>
      <c r="W1242" s="39"/>
      <c r="X1242" s="39"/>
      <c r="Y1242" s="39"/>
      <c r="Z1242" s="39"/>
      <c r="AA1242" s="39"/>
    </row>
    <row r="1243" ht="15.75" customHeight="1">
      <c r="C1243" s="151"/>
      <c r="J1243" s="26"/>
      <c r="K1243" s="151"/>
      <c r="L1243" s="151"/>
      <c r="M1243" s="151"/>
      <c r="N1243" s="151"/>
      <c r="O1243" s="151"/>
      <c r="P1243" s="151"/>
      <c r="Q1243" s="151"/>
      <c r="R1243" s="39"/>
      <c r="S1243" s="39"/>
      <c r="T1243" s="39"/>
      <c r="U1243" s="39"/>
      <c r="V1243" s="39"/>
      <c r="W1243" s="39"/>
      <c r="X1243" s="39"/>
      <c r="Y1243" s="39"/>
      <c r="Z1243" s="39"/>
      <c r="AA1243" s="39"/>
    </row>
    <row r="1244" ht="15.75" customHeight="1">
      <c r="C1244" s="151"/>
      <c r="J1244" s="26"/>
      <c r="K1244" s="151"/>
      <c r="L1244" s="151"/>
      <c r="M1244" s="151"/>
      <c r="N1244" s="151"/>
      <c r="O1244" s="151"/>
      <c r="P1244" s="151"/>
      <c r="Q1244" s="151"/>
      <c r="R1244" s="39"/>
      <c r="S1244" s="39"/>
      <c r="T1244" s="39"/>
      <c r="U1244" s="39"/>
      <c r="V1244" s="39"/>
      <c r="W1244" s="39"/>
      <c r="X1244" s="39"/>
      <c r="Y1244" s="39"/>
      <c r="Z1244" s="39"/>
      <c r="AA1244" s="39"/>
    </row>
    <row r="1245" ht="15.75" customHeight="1">
      <c r="C1245" s="151"/>
      <c r="J1245" s="26"/>
      <c r="K1245" s="151"/>
      <c r="L1245" s="151"/>
      <c r="M1245" s="151"/>
      <c r="N1245" s="151"/>
      <c r="O1245" s="151"/>
      <c r="P1245" s="151"/>
      <c r="Q1245" s="151"/>
      <c r="R1245" s="39"/>
      <c r="S1245" s="39"/>
      <c r="T1245" s="39"/>
      <c r="U1245" s="39"/>
      <c r="V1245" s="39"/>
      <c r="W1245" s="39"/>
      <c r="X1245" s="39"/>
      <c r="Y1245" s="39"/>
      <c r="Z1245" s="39"/>
      <c r="AA1245" s="39"/>
    </row>
    <row r="1246" ht="15.75" customHeight="1">
      <c r="C1246" s="151"/>
      <c r="J1246" s="26"/>
      <c r="K1246" s="151"/>
      <c r="L1246" s="151"/>
      <c r="M1246" s="151"/>
      <c r="N1246" s="151"/>
      <c r="O1246" s="151"/>
      <c r="P1246" s="151"/>
      <c r="Q1246" s="151"/>
      <c r="R1246" s="39"/>
      <c r="S1246" s="39"/>
      <c r="T1246" s="39"/>
      <c r="U1246" s="39"/>
      <c r="V1246" s="39"/>
      <c r="W1246" s="39"/>
      <c r="X1246" s="39"/>
      <c r="Y1246" s="39"/>
      <c r="Z1246" s="39"/>
      <c r="AA1246" s="39"/>
    </row>
    <row r="1247" ht="15.75" customHeight="1">
      <c r="C1247" s="151"/>
      <c r="J1247" s="26"/>
      <c r="K1247" s="151"/>
      <c r="L1247" s="151"/>
      <c r="M1247" s="151"/>
      <c r="N1247" s="151"/>
      <c r="O1247" s="151"/>
      <c r="P1247" s="151"/>
      <c r="Q1247" s="151"/>
      <c r="R1247" s="39"/>
      <c r="S1247" s="39"/>
      <c r="T1247" s="39"/>
      <c r="U1247" s="39"/>
      <c r="V1247" s="39"/>
      <c r="W1247" s="39"/>
      <c r="X1247" s="39"/>
      <c r="Y1247" s="39"/>
      <c r="Z1247" s="39"/>
      <c r="AA1247" s="39"/>
    </row>
    <row r="1248" ht="15.75" customHeight="1">
      <c r="C1248" s="151"/>
      <c r="J1248" s="26"/>
      <c r="K1248" s="151"/>
      <c r="L1248" s="151"/>
      <c r="M1248" s="151"/>
      <c r="N1248" s="151"/>
      <c r="O1248" s="151"/>
      <c r="P1248" s="151"/>
      <c r="Q1248" s="151"/>
      <c r="R1248" s="39"/>
      <c r="S1248" s="39"/>
      <c r="T1248" s="39"/>
      <c r="U1248" s="39"/>
      <c r="V1248" s="39"/>
      <c r="W1248" s="39"/>
      <c r="X1248" s="39"/>
      <c r="Y1248" s="39"/>
      <c r="Z1248" s="39"/>
      <c r="AA1248" s="39"/>
    </row>
    <row r="1249" ht="15.75" customHeight="1">
      <c r="C1249" s="151"/>
      <c r="J1249" s="26"/>
      <c r="K1249" s="151"/>
      <c r="L1249" s="151"/>
      <c r="M1249" s="151"/>
      <c r="N1249" s="151"/>
      <c r="O1249" s="151"/>
      <c r="P1249" s="151"/>
      <c r="Q1249" s="151"/>
      <c r="R1249" s="39"/>
      <c r="S1249" s="39"/>
      <c r="T1249" s="39"/>
      <c r="U1249" s="39"/>
      <c r="V1249" s="39"/>
      <c r="W1249" s="39"/>
      <c r="X1249" s="39"/>
      <c r="Y1249" s="39"/>
      <c r="Z1249" s="39"/>
      <c r="AA1249" s="39"/>
    </row>
    <row r="1250" ht="15.75" customHeight="1">
      <c r="C1250" s="151"/>
      <c r="J1250" s="26"/>
      <c r="K1250" s="151"/>
      <c r="L1250" s="151"/>
      <c r="M1250" s="151"/>
      <c r="N1250" s="151"/>
      <c r="O1250" s="151"/>
      <c r="P1250" s="151"/>
      <c r="Q1250" s="151"/>
      <c r="R1250" s="39"/>
      <c r="S1250" s="39"/>
      <c r="T1250" s="39"/>
      <c r="U1250" s="39"/>
      <c r="V1250" s="39"/>
      <c r="W1250" s="39"/>
      <c r="X1250" s="39"/>
      <c r="Y1250" s="39"/>
      <c r="Z1250" s="39"/>
      <c r="AA1250" s="39"/>
    </row>
    <row r="1251" ht="15.75" customHeight="1">
      <c r="C1251" s="151"/>
      <c r="J1251" s="26"/>
      <c r="K1251" s="151"/>
      <c r="L1251" s="151"/>
      <c r="M1251" s="151"/>
      <c r="N1251" s="151"/>
      <c r="O1251" s="151"/>
      <c r="P1251" s="151"/>
      <c r="Q1251" s="151"/>
      <c r="R1251" s="39"/>
      <c r="S1251" s="39"/>
      <c r="T1251" s="39"/>
      <c r="U1251" s="39"/>
      <c r="V1251" s="39"/>
      <c r="W1251" s="39"/>
      <c r="X1251" s="39"/>
      <c r="Y1251" s="39"/>
      <c r="Z1251" s="39"/>
      <c r="AA1251" s="39"/>
    </row>
    <row r="1252" ht="15.75" customHeight="1">
      <c r="J1252" s="26"/>
      <c r="K1252" s="151"/>
      <c r="L1252" s="151"/>
      <c r="M1252" s="151"/>
      <c r="N1252" s="151"/>
      <c r="O1252" s="151"/>
      <c r="P1252" s="151"/>
      <c r="Q1252" s="151"/>
      <c r="R1252" s="39"/>
      <c r="S1252" s="39"/>
      <c r="T1252" s="39"/>
      <c r="U1252" s="39"/>
      <c r="V1252" s="39"/>
      <c r="W1252" s="39"/>
      <c r="X1252" s="39"/>
      <c r="Y1252" s="39"/>
      <c r="Z1252" s="39"/>
      <c r="AA1252" s="39"/>
    </row>
    <row r="1253" ht="15.75" customHeight="1">
      <c r="J1253" s="26"/>
      <c r="K1253" s="151"/>
      <c r="L1253" s="151"/>
      <c r="M1253" s="151"/>
      <c r="N1253" s="151"/>
      <c r="O1253" s="151"/>
      <c r="P1253" s="151"/>
      <c r="Q1253" s="151"/>
      <c r="R1253" s="39"/>
      <c r="S1253" s="39"/>
      <c r="T1253" s="39"/>
      <c r="U1253" s="39"/>
      <c r="V1253" s="39"/>
      <c r="W1253" s="39"/>
      <c r="X1253" s="39"/>
      <c r="Y1253" s="39"/>
      <c r="Z1253" s="39"/>
      <c r="AA1253" s="39"/>
    </row>
    <row r="1254" ht="15.75" customHeight="1">
      <c r="K1254" s="151"/>
      <c r="L1254" s="151"/>
      <c r="M1254" s="151"/>
      <c r="N1254" s="151"/>
      <c r="O1254" s="151"/>
      <c r="P1254" s="151"/>
      <c r="Q1254" s="151"/>
      <c r="R1254" s="39"/>
      <c r="S1254" s="39"/>
      <c r="T1254" s="39"/>
      <c r="U1254" s="39"/>
      <c r="V1254" s="39"/>
      <c r="W1254" s="39"/>
      <c r="X1254" s="39"/>
      <c r="Y1254" s="39"/>
      <c r="Z1254" s="39"/>
      <c r="AA1254" s="39"/>
    </row>
    <row r="1255" ht="15.75" customHeight="1">
      <c r="K1255" s="151"/>
      <c r="L1255" s="151"/>
      <c r="M1255" s="151"/>
      <c r="N1255" s="151"/>
      <c r="O1255" s="151"/>
      <c r="P1255" s="151"/>
      <c r="Q1255" s="151"/>
      <c r="R1255" s="39"/>
      <c r="S1255" s="39"/>
      <c r="T1255" s="39"/>
      <c r="U1255" s="39"/>
      <c r="V1255" s="39"/>
      <c r="W1255" s="39"/>
      <c r="X1255" s="39"/>
      <c r="Y1255" s="39"/>
      <c r="Z1255" s="39"/>
      <c r="AA1255" s="39"/>
    </row>
    <row r="1256" ht="15.75" customHeight="1">
      <c r="K1256" s="151"/>
      <c r="L1256" s="151"/>
      <c r="M1256" s="151"/>
      <c r="N1256" s="151"/>
      <c r="O1256" s="151"/>
      <c r="P1256" s="151"/>
      <c r="Q1256" s="151"/>
      <c r="R1256" s="39"/>
      <c r="S1256" s="39"/>
      <c r="T1256" s="39"/>
      <c r="U1256" s="39"/>
      <c r="V1256" s="39"/>
      <c r="W1256" s="39"/>
      <c r="X1256" s="39"/>
      <c r="Y1256" s="39"/>
      <c r="Z1256" s="39"/>
      <c r="AA1256" s="39"/>
    </row>
    <row r="1257" ht="15.75" customHeight="1">
      <c r="K1257" s="151"/>
      <c r="L1257" s="151"/>
      <c r="M1257" s="151"/>
      <c r="N1257" s="151"/>
      <c r="O1257" s="151"/>
      <c r="P1257" s="151"/>
      <c r="Q1257" s="151"/>
      <c r="R1257" s="39"/>
      <c r="S1257" s="39"/>
      <c r="T1257" s="39"/>
      <c r="U1257" s="39"/>
      <c r="V1257" s="39"/>
      <c r="W1257" s="39"/>
      <c r="X1257" s="39"/>
      <c r="Y1257" s="39"/>
      <c r="Z1257" s="39"/>
      <c r="AA1257" s="39"/>
    </row>
    <row r="1258" ht="15.75" customHeight="1">
      <c r="K1258" s="151"/>
      <c r="L1258" s="151"/>
      <c r="M1258" s="151"/>
      <c r="N1258" s="151"/>
      <c r="O1258" s="151"/>
      <c r="P1258" s="151"/>
      <c r="Q1258" s="151"/>
      <c r="R1258" s="39"/>
      <c r="S1258" s="39"/>
      <c r="T1258" s="39"/>
      <c r="U1258" s="39"/>
      <c r="V1258" s="39"/>
      <c r="W1258" s="39"/>
      <c r="X1258" s="39"/>
      <c r="Y1258" s="39"/>
      <c r="Z1258" s="39"/>
      <c r="AA1258" s="39"/>
    </row>
    <row r="1259" ht="15.75" customHeight="1">
      <c r="K1259" s="151"/>
      <c r="L1259" s="151"/>
      <c r="M1259" s="151"/>
      <c r="N1259" s="151"/>
      <c r="O1259" s="151"/>
      <c r="P1259" s="151"/>
      <c r="Q1259" s="151"/>
      <c r="R1259" s="39"/>
      <c r="S1259" s="39"/>
      <c r="T1259" s="39"/>
      <c r="U1259" s="39"/>
      <c r="V1259" s="39"/>
      <c r="W1259" s="39"/>
      <c r="X1259" s="39"/>
      <c r="Y1259" s="39"/>
      <c r="Z1259" s="39"/>
      <c r="AA1259" s="39"/>
    </row>
    <row r="1260" ht="15.75" customHeight="1">
      <c r="K1260" s="151"/>
      <c r="L1260" s="151"/>
      <c r="M1260" s="151"/>
      <c r="N1260" s="151"/>
      <c r="O1260" s="151"/>
      <c r="P1260" s="151"/>
      <c r="Q1260" s="151"/>
      <c r="R1260" s="39"/>
      <c r="S1260" s="39"/>
      <c r="T1260" s="39"/>
      <c r="U1260" s="39"/>
      <c r="V1260" s="39"/>
      <c r="W1260" s="39"/>
      <c r="X1260" s="39"/>
      <c r="Y1260" s="39"/>
      <c r="Z1260" s="39"/>
      <c r="AA1260" s="39"/>
    </row>
    <row r="1261" ht="15.75" customHeight="1">
      <c r="K1261" s="151"/>
      <c r="L1261" s="151"/>
      <c r="M1261" s="151"/>
      <c r="N1261" s="151"/>
      <c r="O1261" s="151"/>
      <c r="P1261" s="151"/>
      <c r="Q1261" s="151"/>
      <c r="R1261" s="39"/>
      <c r="S1261" s="39"/>
      <c r="T1261" s="39"/>
      <c r="U1261" s="39"/>
      <c r="V1261" s="39"/>
      <c r="W1261" s="39"/>
      <c r="X1261" s="39"/>
      <c r="Y1261" s="39"/>
      <c r="Z1261" s="39"/>
      <c r="AA1261" s="39"/>
    </row>
    <row r="1262" ht="15.75" customHeight="1">
      <c r="K1262" s="151"/>
      <c r="L1262" s="151"/>
      <c r="M1262" s="151"/>
      <c r="N1262" s="151"/>
      <c r="O1262" s="151"/>
      <c r="P1262" s="151"/>
      <c r="Q1262" s="151"/>
      <c r="R1262" s="39"/>
      <c r="S1262" s="39"/>
      <c r="T1262" s="39"/>
      <c r="U1262" s="39"/>
      <c r="V1262" s="39"/>
      <c r="W1262" s="39"/>
      <c r="X1262" s="39"/>
      <c r="Y1262" s="39"/>
      <c r="Z1262" s="39"/>
      <c r="AA1262" s="39"/>
    </row>
    <row r="1263" ht="15.75" customHeight="1">
      <c r="K1263" s="151"/>
      <c r="L1263" s="151"/>
      <c r="M1263" s="151"/>
      <c r="N1263" s="151"/>
      <c r="O1263" s="151"/>
      <c r="P1263" s="151"/>
      <c r="Q1263" s="151"/>
      <c r="R1263" s="39"/>
      <c r="S1263" s="39"/>
      <c r="T1263" s="39"/>
      <c r="U1263" s="39"/>
      <c r="V1263" s="39"/>
      <c r="W1263" s="39"/>
      <c r="X1263" s="39"/>
      <c r="Y1263" s="39"/>
      <c r="Z1263" s="39"/>
      <c r="AA1263" s="39"/>
    </row>
    <row r="1264" ht="15.75" customHeight="1">
      <c r="K1264" s="151"/>
      <c r="L1264" s="151"/>
      <c r="M1264" s="151"/>
      <c r="N1264" s="151"/>
      <c r="O1264" s="151"/>
      <c r="P1264" s="151"/>
      <c r="Q1264" s="151"/>
      <c r="R1264" s="39"/>
      <c r="S1264" s="39"/>
      <c r="T1264" s="39"/>
      <c r="U1264" s="39"/>
      <c r="V1264" s="39"/>
      <c r="W1264" s="39"/>
      <c r="X1264" s="39"/>
      <c r="Y1264" s="39"/>
      <c r="Z1264" s="39"/>
      <c r="AA1264" s="39"/>
    </row>
    <row r="1265" ht="15.75" customHeight="1">
      <c r="K1265" s="151"/>
      <c r="L1265" s="151"/>
      <c r="M1265" s="151"/>
      <c r="N1265" s="151"/>
      <c r="O1265" s="151"/>
      <c r="P1265" s="151"/>
      <c r="Q1265" s="151"/>
      <c r="R1265" s="39"/>
      <c r="S1265" s="39"/>
      <c r="T1265" s="39"/>
      <c r="U1265" s="39"/>
      <c r="V1265" s="39"/>
      <c r="W1265" s="39"/>
      <c r="X1265" s="39"/>
      <c r="Y1265" s="39"/>
      <c r="Z1265" s="39"/>
      <c r="AA1265" s="39"/>
    </row>
    <row r="1266" ht="15.75" customHeight="1">
      <c r="K1266" s="151"/>
      <c r="L1266" s="151"/>
      <c r="M1266" s="151"/>
      <c r="N1266" s="151"/>
      <c r="O1266" s="151"/>
      <c r="P1266" s="151"/>
      <c r="Q1266" s="151"/>
      <c r="R1266" s="39"/>
      <c r="S1266" s="39"/>
      <c r="T1266" s="39"/>
      <c r="U1266" s="39"/>
      <c r="V1266" s="39"/>
      <c r="W1266" s="39"/>
      <c r="X1266" s="39"/>
      <c r="Y1266" s="39"/>
      <c r="Z1266" s="39"/>
      <c r="AA1266" s="39"/>
    </row>
    <row r="1267" ht="15.75" customHeight="1">
      <c r="K1267" s="151"/>
      <c r="L1267" s="151"/>
      <c r="M1267" s="151"/>
      <c r="N1267" s="151"/>
      <c r="O1267" s="151"/>
      <c r="P1267" s="151"/>
      <c r="Q1267" s="151"/>
      <c r="R1267" s="39"/>
      <c r="S1267" s="39"/>
      <c r="T1267" s="39"/>
      <c r="U1267" s="39"/>
      <c r="V1267" s="39"/>
      <c r="W1267" s="39"/>
      <c r="X1267" s="39"/>
      <c r="Y1267" s="39"/>
      <c r="Z1267" s="39"/>
      <c r="AA1267" s="39"/>
    </row>
    <row r="1268" ht="15.75" customHeight="1">
      <c r="K1268" s="151"/>
      <c r="L1268" s="151"/>
      <c r="M1268" s="151"/>
      <c r="N1268" s="151"/>
      <c r="O1268" s="151"/>
      <c r="P1268" s="151"/>
      <c r="Q1268" s="151"/>
      <c r="R1268" s="39"/>
      <c r="S1268" s="39"/>
      <c r="T1268" s="39"/>
      <c r="U1268" s="39"/>
      <c r="V1268" s="39"/>
      <c r="W1268" s="39"/>
      <c r="X1268" s="39"/>
      <c r="Y1268" s="39"/>
      <c r="Z1268" s="39"/>
      <c r="AA1268" s="39"/>
    </row>
    <row r="1269" ht="15.75" customHeight="1">
      <c r="K1269" s="151"/>
      <c r="L1269" s="151"/>
      <c r="M1269" s="151"/>
      <c r="N1269" s="151"/>
      <c r="O1269" s="151"/>
      <c r="P1269" s="151"/>
      <c r="Q1269" s="151"/>
      <c r="R1269" s="39"/>
      <c r="S1269" s="39"/>
      <c r="T1269" s="39"/>
      <c r="U1269" s="39"/>
      <c r="V1269" s="39"/>
      <c r="W1269" s="39"/>
      <c r="X1269" s="39"/>
      <c r="Y1269" s="39"/>
      <c r="Z1269" s="39"/>
      <c r="AA1269" s="39"/>
    </row>
    <row r="1270" ht="15.75" customHeight="1">
      <c r="L1270" s="151"/>
      <c r="M1270" s="151"/>
      <c r="N1270" s="151"/>
      <c r="O1270" s="151"/>
      <c r="P1270" s="151"/>
      <c r="Q1270" s="151"/>
      <c r="R1270" s="39"/>
      <c r="S1270" s="39"/>
      <c r="T1270" s="39"/>
      <c r="U1270" s="39"/>
      <c r="V1270" s="39"/>
      <c r="W1270" s="39"/>
      <c r="X1270" s="39"/>
      <c r="Y1270" s="39"/>
      <c r="Z1270" s="39"/>
      <c r="AA1270" s="39"/>
    </row>
    <row r="1271" ht="15.75" customHeight="1">
      <c r="O1271" s="151"/>
      <c r="P1271" s="151"/>
      <c r="Q1271" s="151"/>
      <c r="R1271" s="39"/>
      <c r="S1271" s="39"/>
      <c r="T1271" s="39"/>
      <c r="U1271" s="39"/>
      <c r="V1271" s="39"/>
      <c r="W1271" s="39"/>
      <c r="X1271" s="39"/>
      <c r="Y1271" s="39"/>
      <c r="Z1271" s="39"/>
      <c r="AA1271" s="39"/>
    </row>
  </sheetData>
  <dataValidations>
    <dataValidation type="list" allowBlank="1" showErrorMessage="1" sqref="F2:F89 F109:F192">
      <formula1>para!$B$2:$B$5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7.75"/>
    <col customWidth="1" min="3" max="3" width="14.0"/>
    <col customWidth="1" min="4" max="4" width="11.38"/>
    <col customWidth="1" min="5" max="5" width="26.75"/>
    <col customWidth="1" min="6" max="6" width="34.25"/>
    <col customWidth="1" min="7" max="7" width="29.13"/>
    <col customWidth="1" min="8" max="8" width="21.25"/>
    <col customWidth="1" min="9" max="9" width="19.13"/>
    <col customWidth="1" min="10" max="27" width="9.88"/>
  </cols>
  <sheetData>
    <row r="1" ht="32.25" customHeight="1">
      <c r="A1" s="1"/>
      <c r="B1" s="7" t="s">
        <v>1</v>
      </c>
      <c r="C1" s="7" t="s">
        <v>3</v>
      </c>
      <c r="D1" s="15" t="s">
        <v>409</v>
      </c>
      <c r="E1" s="15" t="s">
        <v>8</v>
      </c>
      <c r="F1" s="17" t="s">
        <v>9</v>
      </c>
      <c r="G1" s="3" t="s">
        <v>15</v>
      </c>
      <c r="H1" s="3" t="s">
        <v>19</v>
      </c>
      <c r="I1" s="19" t="s">
        <v>17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1">
        <v>1.0</v>
      </c>
      <c r="B2" s="50" t="s">
        <v>140</v>
      </c>
      <c r="C2" s="189" t="s">
        <v>27</v>
      </c>
      <c r="D2" s="16" t="s">
        <v>45</v>
      </c>
      <c r="E2" s="20" t="s">
        <v>419</v>
      </c>
      <c r="F2" s="20" t="s">
        <v>122</v>
      </c>
      <c r="G2" s="16"/>
      <c r="H2" s="35"/>
      <c r="I2" s="191" t="s">
        <v>421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>
        <v>2.0</v>
      </c>
      <c r="B3" s="193" t="s">
        <v>140</v>
      </c>
      <c r="C3" s="50" t="s">
        <v>141</v>
      </c>
      <c r="D3" s="16" t="s">
        <v>45</v>
      </c>
      <c r="E3" s="20" t="s">
        <v>432</v>
      </c>
      <c r="F3" s="20" t="s">
        <v>20</v>
      </c>
      <c r="G3" s="16"/>
      <c r="H3" s="35"/>
      <c r="I3" s="44" t="s">
        <v>434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>
        <v>3.0</v>
      </c>
      <c r="B4" s="193" t="s">
        <v>140</v>
      </c>
      <c r="C4" s="194" t="s">
        <v>143</v>
      </c>
      <c r="D4" s="16" t="s">
        <v>45</v>
      </c>
      <c r="E4" s="16"/>
      <c r="F4" s="195" t="s">
        <v>79</v>
      </c>
      <c r="G4" s="16"/>
      <c r="H4" s="35"/>
      <c r="I4" s="37" t="s">
        <v>439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>
        <v>4.0</v>
      </c>
      <c r="B5" s="193" t="s">
        <v>140</v>
      </c>
      <c r="C5" s="194" t="s">
        <v>148</v>
      </c>
      <c r="D5" s="16" t="s">
        <v>45</v>
      </c>
      <c r="E5" s="69" t="s">
        <v>441</v>
      </c>
      <c r="F5" s="20" t="s">
        <v>20</v>
      </c>
      <c r="G5" s="163" t="s">
        <v>442</v>
      </c>
      <c r="H5" s="16"/>
      <c r="I5" s="44" t="s">
        <v>444</v>
      </c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3.5" customHeight="1">
      <c r="A6" s="1">
        <v>5.0</v>
      </c>
      <c r="B6" s="193" t="s">
        <v>140</v>
      </c>
      <c r="C6" s="194" t="s">
        <v>152</v>
      </c>
      <c r="D6" s="16" t="s">
        <v>45</v>
      </c>
      <c r="E6" s="16"/>
      <c r="F6" s="41" t="s">
        <v>37</v>
      </c>
      <c r="G6" s="16"/>
      <c r="H6" s="35"/>
      <c r="I6" s="196" t="s">
        <v>447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3.5" customHeight="1">
      <c r="A7" s="1">
        <v>6.0</v>
      </c>
      <c r="B7" s="193" t="s">
        <v>140</v>
      </c>
      <c r="C7" s="194" t="s">
        <v>154</v>
      </c>
      <c r="D7" s="16" t="s">
        <v>45</v>
      </c>
      <c r="E7" s="16"/>
      <c r="F7" s="197" t="s">
        <v>79</v>
      </c>
      <c r="G7" s="16"/>
      <c r="H7" s="35"/>
      <c r="I7" s="196" t="s">
        <v>450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3.5" customHeight="1">
      <c r="A8" s="1">
        <v>7.0</v>
      </c>
      <c r="B8" s="193" t="s">
        <v>140</v>
      </c>
      <c r="C8" s="194" t="s">
        <v>156</v>
      </c>
      <c r="D8" s="16" t="s">
        <v>45</v>
      </c>
      <c r="E8" s="16"/>
      <c r="F8" s="197" t="s">
        <v>79</v>
      </c>
      <c r="G8" s="16"/>
      <c r="H8" s="35"/>
      <c r="I8" s="196" t="s">
        <v>450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3.5" customHeight="1">
      <c r="A9" s="1"/>
      <c r="B9" s="155" t="s">
        <v>140</v>
      </c>
      <c r="C9" s="59" t="s">
        <v>159</v>
      </c>
      <c r="D9" s="198" t="s">
        <v>177</v>
      </c>
      <c r="E9" s="20" t="s">
        <v>455</v>
      </c>
      <c r="F9" s="41" t="s">
        <v>20</v>
      </c>
      <c r="G9" s="16"/>
      <c r="H9" s="3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3.5" customHeight="1">
      <c r="A10" s="1">
        <v>8.0</v>
      </c>
      <c r="B10" s="193" t="s">
        <v>140</v>
      </c>
      <c r="C10" s="59" t="s">
        <v>161</v>
      </c>
      <c r="D10" s="198" t="s">
        <v>177</v>
      </c>
      <c r="E10" s="16"/>
      <c r="F10" s="41" t="s">
        <v>37</v>
      </c>
      <c r="G10" s="16"/>
      <c r="H10" s="3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3.5" customHeight="1">
      <c r="A11" s="1">
        <v>9.0</v>
      </c>
      <c r="B11" s="193" t="s">
        <v>140</v>
      </c>
      <c r="C11" s="188" t="s">
        <v>163</v>
      </c>
      <c r="D11" s="199" t="s">
        <v>45</v>
      </c>
      <c r="E11" s="62" t="s">
        <v>441</v>
      </c>
      <c r="F11" s="41" t="s">
        <v>37</v>
      </c>
      <c r="G11" s="200"/>
      <c r="H11" s="201"/>
      <c r="I11" s="20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3.5" customHeight="1">
      <c r="A12" s="1">
        <v>10.0</v>
      </c>
      <c r="B12" s="193" t="s">
        <v>140</v>
      </c>
      <c r="C12" s="30" t="s">
        <v>456</v>
      </c>
      <c r="D12" s="79" t="s">
        <v>45</v>
      </c>
      <c r="E12" s="32" t="s">
        <v>457</v>
      </c>
      <c r="F12" s="203" t="s">
        <v>369</v>
      </c>
      <c r="G12" s="204" t="s">
        <v>458</v>
      </c>
      <c r="H12" s="32"/>
      <c r="I12" s="205" t="s">
        <v>459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3.5" customHeight="1">
      <c r="A13" s="1">
        <v>11.0</v>
      </c>
      <c r="B13" s="193" t="s">
        <v>140</v>
      </c>
      <c r="C13" s="30" t="s">
        <v>460</v>
      </c>
      <c r="D13" s="65" t="s">
        <v>45</v>
      </c>
      <c r="E13" s="67"/>
      <c r="F13" s="203" t="s">
        <v>369</v>
      </c>
      <c r="G13" s="206"/>
      <c r="H13" s="32"/>
      <c r="I13" s="207" t="s">
        <v>461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3.5" customHeight="1">
      <c r="A14" s="1">
        <v>12.0</v>
      </c>
      <c r="B14" s="193" t="s">
        <v>140</v>
      </c>
      <c r="C14" s="208" t="s">
        <v>462</v>
      </c>
      <c r="D14" s="65" t="s">
        <v>45</v>
      </c>
      <c r="E14" s="32"/>
      <c r="F14" s="203" t="s">
        <v>369</v>
      </c>
      <c r="G14" s="206"/>
      <c r="H14" s="32"/>
      <c r="I14" s="207" t="s">
        <v>463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3.5" customHeight="1">
      <c r="A15" s="1">
        <v>13.0</v>
      </c>
      <c r="B15" s="193" t="s">
        <v>140</v>
      </c>
      <c r="C15" s="208" t="s">
        <v>464</v>
      </c>
      <c r="D15" s="65" t="s">
        <v>45</v>
      </c>
      <c r="E15" s="32"/>
      <c r="F15" s="203" t="s">
        <v>369</v>
      </c>
      <c r="G15" s="206"/>
      <c r="H15" s="32"/>
      <c r="I15" s="207" t="s">
        <v>463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3.5" customHeight="1">
      <c r="A16" s="1">
        <v>14.0</v>
      </c>
      <c r="B16" s="193" t="s">
        <v>140</v>
      </c>
      <c r="C16" s="208" t="s">
        <v>465</v>
      </c>
      <c r="D16" s="65" t="s">
        <v>45</v>
      </c>
      <c r="E16" s="32"/>
      <c r="F16" s="203" t="s">
        <v>369</v>
      </c>
      <c r="G16" s="206"/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3.5" customHeight="1">
      <c r="A17" s="1">
        <v>15.0</v>
      </c>
      <c r="B17" s="193" t="s">
        <v>140</v>
      </c>
      <c r="C17" s="208" t="s">
        <v>466</v>
      </c>
      <c r="D17" s="65" t="s">
        <v>45</v>
      </c>
      <c r="E17" s="32"/>
      <c r="F17" s="203" t="s">
        <v>369</v>
      </c>
      <c r="G17" s="206"/>
      <c r="H17" s="3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3.5" customHeight="1">
      <c r="A18" s="1">
        <v>16.0</v>
      </c>
      <c r="B18" s="193" t="s">
        <v>140</v>
      </c>
      <c r="C18" s="208" t="s">
        <v>467</v>
      </c>
      <c r="D18" s="65" t="s">
        <v>45</v>
      </c>
      <c r="E18" s="32"/>
      <c r="F18" s="203" t="s">
        <v>369</v>
      </c>
      <c r="G18" s="206"/>
      <c r="H18" s="3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3.5" customHeight="1">
      <c r="A19" s="1">
        <v>17.0</v>
      </c>
      <c r="B19" s="193" t="s">
        <v>140</v>
      </c>
      <c r="C19" s="208" t="s">
        <v>468</v>
      </c>
      <c r="D19" s="65" t="s">
        <v>45</v>
      </c>
      <c r="E19" s="32"/>
      <c r="F19" s="203" t="s">
        <v>369</v>
      </c>
      <c r="G19" s="206"/>
      <c r="H19" s="3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3.5" customHeight="1">
      <c r="A20" s="1">
        <v>18.0</v>
      </c>
      <c r="B20" s="193" t="s">
        <v>140</v>
      </c>
      <c r="C20" s="208" t="s">
        <v>469</v>
      </c>
      <c r="D20" s="65" t="s">
        <v>45</v>
      </c>
      <c r="E20" s="32"/>
      <c r="F20" s="203" t="s">
        <v>369</v>
      </c>
      <c r="G20" s="206"/>
      <c r="H20" s="3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3.5" customHeight="1">
      <c r="A21" s="1">
        <v>19.0</v>
      </c>
      <c r="B21" s="193" t="s">
        <v>140</v>
      </c>
      <c r="C21" s="208" t="s">
        <v>470</v>
      </c>
      <c r="D21" s="65" t="s">
        <v>45</v>
      </c>
      <c r="E21" s="32"/>
      <c r="F21" s="203" t="s">
        <v>369</v>
      </c>
      <c r="G21" s="206"/>
      <c r="H21" s="3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3.5" customHeight="1">
      <c r="A22" s="1">
        <v>20.0</v>
      </c>
      <c r="B22" s="193" t="s">
        <v>140</v>
      </c>
      <c r="C22" s="208" t="s">
        <v>471</v>
      </c>
      <c r="D22" s="65" t="s">
        <v>45</v>
      </c>
      <c r="E22" s="32"/>
      <c r="F22" s="203" t="s">
        <v>369</v>
      </c>
      <c r="G22" s="206"/>
      <c r="H22" s="3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3.5" customHeight="1">
      <c r="A23" s="1">
        <v>21.0</v>
      </c>
      <c r="B23" s="193" t="s">
        <v>140</v>
      </c>
      <c r="C23" s="208" t="s">
        <v>472</v>
      </c>
      <c r="D23" s="65" t="s">
        <v>45</v>
      </c>
      <c r="E23" s="32"/>
      <c r="F23" s="203" t="s">
        <v>369</v>
      </c>
      <c r="G23" s="206"/>
      <c r="H23" s="3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3.5" customHeight="1">
      <c r="A24" s="1">
        <v>22.0</v>
      </c>
      <c r="B24" s="193" t="s">
        <v>140</v>
      </c>
      <c r="C24" s="208" t="s">
        <v>473</v>
      </c>
      <c r="D24" s="65" t="s">
        <v>45</v>
      </c>
      <c r="E24" s="32"/>
      <c r="F24" s="203" t="s">
        <v>369</v>
      </c>
      <c r="G24" s="206"/>
      <c r="H24" s="3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3.5" customHeight="1">
      <c r="A25" s="1">
        <v>23.0</v>
      </c>
      <c r="B25" s="193" t="s">
        <v>140</v>
      </c>
      <c r="C25" s="208" t="s">
        <v>474</v>
      </c>
      <c r="D25" s="65" t="s">
        <v>45</v>
      </c>
      <c r="E25" s="32"/>
      <c r="F25" s="203" t="s">
        <v>369</v>
      </c>
      <c r="G25" s="206"/>
      <c r="H25" s="3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3.5" customHeight="1">
      <c r="A26" s="1">
        <v>24.0</v>
      </c>
      <c r="B26" s="193" t="s">
        <v>140</v>
      </c>
      <c r="C26" s="208" t="s">
        <v>475</v>
      </c>
      <c r="D26" s="32"/>
      <c r="E26" s="32"/>
      <c r="F26" s="203" t="s">
        <v>369</v>
      </c>
      <c r="G26" s="206"/>
      <c r="H26" s="3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3.5" customHeight="1">
      <c r="A27" s="1">
        <v>25.0</v>
      </c>
      <c r="B27" s="193" t="s">
        <v>140</v>
      </c>
      <c r="C27" s="208" t="s">
        <v>476</v>
      </c>
      <c r="D27" s="32"/>
      <c r="E27" s="32"/>
      <c r="F27" s="203" t="s">
        <v>369</v>
      </c>
      <c r="G27" s="206"/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3.5" customHeight="1">
      <c r="A28" s="1">
        <v>26.0</v>
      </c>
      <c r="B28" s="193" t="s">
        <v>140</v>
      </c>
      <c r="C28" s="208" t="s">
        <v>477</v>
      </c>
      <c r="D28" s="32"/>
      <c r="E28" s="210"/>
      <c r="F28" s="203" t="s">
        <v>369</v>
      </c>
      <c r="G28" s="206"/>
      <c r="H28" s="3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3.5" customHeight="1">
      <c r="A29" s="1">
        <v>27.0</v>
      </c>
      <c r="B29" s="193" t="s">
        <v>140</v>
      </c>
      <c r="C29" s="208" t="s">
        <v>478</v>
      </c>
      <c r="D29" s="32"/>
      <c r="E29" s="210"/>
      <c r="F29" s="203" t="s">
        <v>369</v>
      </c>
      <c r="G29" s="206"/>
      <c r="H29" s="3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3.5" customHeight="1">
      <c r="A30" s="1">
        <v>28.0</v>
      </c>
      <c r="B30" s="193" t="s">
        <v>140</v>
      </c>
      <c r="C30" s="208" t="s">
        <v>479</v>
      </c>
      <c r="D30" s="32"/>
      <c r="E30" s="210"/>
      <c r="F30" s="203" t="s">
        <v>369</v>
      </c>
      <c r="G30" s="206"/>
      <c r="H30" s="3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3.5" customHeight="1">
      <c r="A31" s="1">
        <v>29.0</v>
      </c>
      <c r="B31" s="193" t="s">
        <v>140</v>
      </c>
      <c r="C31" s="208" t="s">
        <v>480</v>
      </c>
      <c r="D31" s="32"/>
      <c r="E31" s="210"/>
      <c r="F31" s="203" t="s">
        <v>369</v>
      </c>
      <c r="G31" s="206"/>
      <c r="H31" s="3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3.5" customHeight="1">
      <c r="A32" s="1">
        <v>30.0</v>
      </c>
      <c r="B32" s="193" t="s">
        <v>140</v>
      </c>
      <c r="C32" s="208" t="s">
        <v>482</v>
      </c>
      <c r="D32" s="32"/>
      <c r="E32" s="210"/>
      <c r="F32" s="203" t="s">
        <v>369</v>
      </c>
      <c r="G32" s="206"/>
      <c r="H32" s="3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3.5" customHeight="1">
      <c r="A33" s="1">
        <v>31.0</v>
      </c>
      <c r="B33" s="193" t="s">
        <v>140</v>
      </c>
      <c r="C33" s="208" t="s">
        <v>483</v>
      </c>
      <c r="D33" s="32"/>
      <c r="E33" s="210"/>
      <c r="F33" s="203" t="s">
        <v>369</v>
      </c>
      <c r="G33" s="206"/>
      <c r="H33" s="3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3.5" customHeight="1">
      <c r="A34" s="1">
        <v>32.0</v>
      </c>
      <c r="B34" s="193" t="s">
        <v>140</v>
      </c>
      <c r="C34" s="208" t="s">
        <v>485</v>
      </c>
      <c r="D34" s="32"/>
      <c r="E34" s="210"/>
      <c r="F34" s="203" t="s">
        <v>369</v>
      </c>
      <c r="G34" s="206"/>
      <c r="H34" s="3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3.5" customHeight="1">
      <c r="A35" s="1">
        <v>33.0</v>
      </c>
      <c r="B35" s="193" t="s">
        <v>140</v>
      </c>
      <c r="C35" s="208" t="s">
        <v>487</v>
      </c>
      <c r="D35" s="32"/>
      <c r="E35" s="210"/>
      <c r="F35" s="203" t="s">
        <v>369</v>
      </c>
      <c r="G35" s="206"/>
      <c r="H35" s="3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3.5" customHeight="1">
      <c r="A36" s="1">
        <v>34.0</v>
      </c>
      <c r="B36" s="193" t="s">
        <v>140</v>
      </c>
      <c r="C36" s="208" t="s">
        <v>488</v>
      </c>
      <c r="D36" s="32"/>
      <c r="E36" s="210"/>
      <c r="F36" s="203" t="s">
        <v>369</v>
      </c>
      <c r="G36" s="206"/>
      <c r="H36" s="3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3.5" customHeight="1">
      <c r="A37" s="1">
        <v>35.0</v>
      </c>
      <c r="B37" s="193" t="s">
        <v>140</v>
      </c>
      <c r="C37" s="208" t="s">
        <v>489</v>
      </c>
      <c r="D37" s="32"/>
      <c r="E37" s="210"/>
      <c r="F37" s="203" t="s">
        <v>369</v>
      </c>
      <c r="G37" s="206"/>
      <c r="H37" s="3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3.5" customHeight="1">
      <c r="A38" s="1">
        <v>36.0</v>
      </c>
      <c r="B38" s="193" t="s">
        <v>140</v>
      </c>
      <c r="C38" s="208" t="s">
        <v>490</v>
      </c>
      <c r="D38" s="32"/>
      <c r="E38" s="210"/>
      <c r="F38" s="203" t="s">
        <v>369</v>
      </c>
      <c r="G38" s="206"/>
      <c r="H38" s="3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3.5" customHeight="1">
      <c r="A39" s="1">
        <v>37.0</v>
      </c>
      <c r="B39" s="193" t="s">
        <v>140</v>
      </c>
      <c r="C39" s="208" t="s">
        <v>491</v>
      </c>
      <c r="D39" s="32"/>
      <c r="E39" s="210"/>
      <c r="F39" s="203" t="s">
        <v>369</v>
      </c>
      <c r="G39" s="206"/>
      <c r="H39" s="3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3.5" customHeight="1">
      <c r="A40" s="1">
        <v>38.0</v>
      </c>
      <c r="B40" s="193" t="s">
        <v>140</v>
      </c>
      <c r="C40" s="208" t="s">
        <v>492</v>
      </c>
      <c r="D40" s="32"/>
      <c r="E40" s="210"/>
      <c r="F40" s="203" t="s">
        <v>369</v>
      </c>
      <c r="G40" s="206"/>
      <c r="H40" s="3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3.5" customHeight="1">
      <c r="A41" s="1">
        <v>39.0</v>
      </c>
      <c r="B41" s="193" t="s">
        <v>140</v>
      </c>
      <c r="C41" s="208" t="s">
        <v>493</v>
      </c>
      <c r="D41" s="32"/>
      <c r="E41" s="210"/>
      <c r="F41" s="212" t="s">
        <v>369</v>
      </c>
      <c r="G41" s="213"/>
      <c r="H41" s="3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3.5" customHeight="1">
      <c r="A42" s="1"/>
      <c r="B42" s="107"/>
      <c r="C42" s="107"/>
      <c r="D42" s="108" t="s">
        <v>261</v>
      </c>
      <c r="E42" s="112">
        <f>COUNTIF(F:F,"A*")</f>
        <v>3</v>
      </c>
      <c r="F42" s="1"/>
      <c r="G42" s="1"/>
      <c r="H42" s="1"/>
      <c r="I42" s="8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3.5" customHeight="1">
      <c r="A43" s="1"/>
      <c r="B43" s="107"/>
      <c r="C43" s="107"/>
      <c r="D43" s="108" t="s">
        <v>269</v>
      </c>
      <c r="E43" s="112">
        <f>COUNTIF(F:F,"B*")</f>
        <v>3</v>
      </c>
      <c r="F43" s="1"/>
      <c r="G43" s="1"/>
      <c r="H43" s="1"/>
      <c r="I43" s="8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3.5" customHeight="1">
      <c r="A44" s="1"/>
      <c r="B44" s="107"/>
      <c r="C44" s="107"/>
      <c r="D44" s="108" t="s">
        <v>274</v>
      </c>
      <c r="E44" s="112">
        <f>COUNTIF(F:F,"C*")</f>
        <v>0</v>
      </c>
      <c r="F44" s="11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27"/>
      <c r="Z44" s="27"/>
      <c r="AA44" s="27"/>
    </row>
    <row r="45" ht="13.5" customHeight="1">
      <c r="A45" s="1"/>
      <c r="B45" s="107"/>
      <c r="C45" s="107"/>
      <c r="D45" s="108" t="s">
        <v>278</v>
      </c>
      <c r="E45" s="112">
        <f>COUNTIF(F:F,"D*")</f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27"/>
      <c r="Z45" s="27"/>
      <c r="AA45" s="27"/>
    </row>
    <row r="46" ht="13.5" customHeight="1">
      <c r="A46" s="1"/>
      <c r="B46" s="107"/>
      <c r="C46" s="107"/>
      <c r="D46" s="220" t="s">
        <v>79</v>
      </c>
      <c r="E46" s="112">
        <f>COUNTIF(F:F,"Random")</f>
        <v>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27"/>
      <c r="Z46" s="27"/>
      <c r="AA46" s="27"/>
    </row>
    <row r="47" ht="13.5" customHeight="1">
      <c r="A47" s="1"/>
      <c r="B47" s="107"/>
      <c r="C47" s="107"/>
      <c r="D47" s="223" t="s">
        <v>301</v>
      </c>
      <c r="E47" s="112">
        <f>COUNTIF(F:F,"小*")</f>
        <v>30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7"/>
      <c r="Z47" s="27"/>
      <c r="AA47" s="27"/>
    </row>
    <row r="48" ht="13.5" customHeight="1">
      <c r="A48" s="1"/>
      <c r="B48" s="107"/>
      <c r="C48" s="107"/>
      <c r="D48" s="108" t="s">
        <v>285</v>
      </c>
      <c r="E48" s="112">
        <f>COUNTIF(F:F,"嘉*")</f>
        <v>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7"/>
      <c r="Z48" s="27"/>
      <c r="AA48" s="27"/>
    </row>
    <row r="49" ht="13.5" customHeight="1">
      <c r="A49" s="1"/>
      <c r="B49" s="107"/>
      <c r="C49" s="107"/>
      <c r="D49" s="1"/>
      <c r="E49" s="17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3.5" customHeight="1">
      <c r="A50" s="1"/>
      <c r="B50" s="107"/>
      <c r="C50" s="107"/>
      <c r="D50" s="1"/>
      <c r="E50" s="179"/>
      <c r="F50" s="18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3.5" customHeight="1">
      <c r="A51" s="1"/>
      <c r="B51" s="107"/>
      <c r="C51" s="107"/>
      <c r="D51" s="1"/>
      <c r="E51" s="1"/>
      <c r="F51" s="187"/>
      <c r="G51" s="1"/>
      <c r="H51" s="1"/>
      <c r="I51" s="8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1"/>
      <c r="B52" s="107"/>
      <c r="C52" s="107"/>
      <c r="D52" s="1"/>
      <c r="E52" s="1"/>
      <c r="F52" s="187"/>
      <c r="G52" s="1"/>
      <c r="H52" s="1"/>
      <c r="I52" s="8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3.5" customHeight="1">
      <c r="A53" s="1"/>
      <c r="B53" s="107"/>
      <c r="C53" s="107"/>
      <c r="D53" s="1"/>
      <c r="E53" s="1"/>
      <c r="F53" s="187"/>
      <c r="G53" s="1"/>
      <c r="H53" s="1"/>
      <c r="I53" s="8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3.5" customHeight="1">
      <c r="A54" s="1"/>
      <c r="B54" s="107"/>
      <c r="C54" s="107"/>
      <c r="D54" s="1"/>
      <c r="E54" s="1"/>
      <c r="F54" s="187"/>
      <c r="G54" s="1"/>
      <c r="H54" s="1"/>
      <c r="I54" s="8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3.5" customHeight="1">
      <c r="A55" s="1"/>
      <c r="B55" s="107"/>
      <c r="C55" s="107"/>
      <c r="D55" s="1"/>
      <c r="E55" s="1"/>
      <c r="F55" s="187"/>
      <c r="G55" s="1"/>
      <c r="H55" s="1"/>
      <c r="I55" s="8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1"/>
      <c r="B56" s="107"/>
      <c r="C56" s="107"/>
      <c r="D56" s="1"/>
      <c r="E56" s="1"/>
      <c r="F56" s="187"/>
      <c r="G56" s="1"/>
      <c r="H56" s="1"/>
      <c r="I56" s="8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3.5" customHeight="1">
      <c r="A57" s="1"/>
      <c r="B57" s="107"/>
      <c r="C57" s="107"/>
      <c r="D57" s="1"/>
      <c r="E57" s="1"/>
      <c r="F57" s="187"/>
      <c r="G57" s="1"/>
      <c r="H57" s="1"/>
      <c r="I57" s="8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3.5" customHeight="1">
      <c r="A58" s="1"/>
      <c r="B58" s="107"/>
      <c r="C58" s="107"/>
      <c r="D58" s="1"/>
      <c r="E58" s="1"/>
      <c r="F58" s="187"/>
      <c r="G58" s="1"/>
      <c r="H58" s="1"/>
      <c r="I58" s="8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1"/>
      <c r="B59" s="107"/>
      <c r="C59" s="107"/>
      <c r="D59" s="1"/>
      <c r="E59" s="1"/>
      <c r="F59" s="187"/>
      <c r="G59" s="1"/>
      <c r="H59" s="1"/>
      <c r="I59" s="8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1"/>
      <c r="B60" s="107"/>
      <c r="C60" s="107"/>
      <c r="D60" s="1"/>
      <c r="E60" s="1"/>
      <c r="F60" s="187"/>
      <c r="G60" s="1"/>
      <c r="H60" s="1"/>
      <c r="I60" s="8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1"/>
      <c r="B61" s="107"/>
      <c r="C61" s="107"/>
      <c r="D61" s="1"/>
      <c r="E61" s="1"/>
      <c r="F61" s="187"/>
      <c r="G61" s="1"/>
      <c r="H61" s="1"/>
      <c r="I61" s="8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1"/>
      <c r="B62" s="107"/>
      <c r="C62" s="107"/>
      <c r="D62" s="1"/>
      <c r="E62" s="1"/>
      <c r="F62" s="187"/>
      <c r="G62" s="1"/>
      <c r="H62" s="1"/>
      <c r="I62" s="8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1"/>
      <c r="B63" s="107"/>
      <c r="C63" s="107"/>
      <c r="D63" s="1"/>
      <c r="E63" s="1"/>
      <c r="F63" s="187"/>
      <c r="G63" s="1"/>
      <c r="H63" s="1"/>
      <c r="I63" s="8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1"/>
      <c r="B64" s="107"/>
      <c r="C64" s="107"/>
      <c r="D64" s="1"/>
      <c r="E64" s="1"/>
      <c r="F64" s="187"/>
      <c r="G64" s="1"/>
      <c r="H64" s="1"/>
      <c r="I64" s="8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1"/>
      <c r="B65" s="107"/>
      <c r="C65" s="107"/>
      <c r="D65" s="1"/>
      <c r="E65" s="1"/>
      <c r="F65" s="187"/>
      <c r="G65" s="1"/>
      <c r="H65" s="1"/>
      <c r="I65" s="8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1"/>
      <c r="B66" s="107"/>
      <c r="C66" s="107"/>
      <c r="D66" s="1"/>
      <c r="E66" s="1"/>
      <c r="F66" s="187"/>
      <c r="G66" s="1"/>
      <c r="H66" s="1"/>
      <c r="I66" s="8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1"/>
      <c r="B67" s="107"/>
      <c r="C67" s="107"/>
      <c r="D67" s="1"/>
      <c r="E67" s="1"/>
      <c r="F67" s="187"/>
      <c r="G67" s="1"/>
      <c r="H67" s="1"/>
      <c r="I67" s="8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1"/>
      <c r="B68" s="107"/>
      <c r="C68" s="107"/>
      <c r="D68" s="1"/>
      <c r="E68" s="1"/>
      <c r="F68" s="187"/>
      <c r="G68" s="1"/>
      <c r="H68" s="1"/>
      <c r="I68" s="8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1"/>
      <c r="B69" s="107"/>
      <c r="C69" s="107"/>
      <c r="D69" s="1"/>
      <c r="E69" s="1"/>
      <c r="F69" s="187"/>
      <c r="G69" s="1"/>
      <c r="H69" s="1"/>
      <c r="I69" s="8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1"/>
      <c r="B70" s="107"/>
      <c r="C70" s="107"/>
      <c r="D70" s="1"/>
      <c r="E70" s="1"/>
      <c r="F70" s="187"/>
      <c r="G70" s="1"/>
      <c r="H70" s="1"/>
      <c r="I70" s="8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"/>
      <c r="B71" s="107"/>
      <c r="C71" s="107"/>
      <c r="D71" s="1"/>
      <c r="E71" s="1"/>
      <c r="F71" s="187"/>
      <c r="G71" s="1"/>
      <c r="H71" s="1"/>
      <c r="I71" s="8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3.5" customHeight="1">
      <c r="A72" s="1"/>
      <c r="B72" s="107"/>
      <c r="C72" s="107"/>
      <c r="D72" s="1"/>
      <c r="E72" s="1"/>
      <c r="F72" s="187"/>
      <c r="G72" s="1"/>
      <c r="H72" s="1"/>
      <c r="I72" s="8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3.5" customHeight="1">
      <c r="A73" s="1"/>
      <c r="B73" s="107"/>
      <c r="C73" s="107"/>
      <c r="D73" s="1"/>
      <c r="E73" s="1"/>
      <c r="F73" s="187"/>
      <c r="G73" s="1"/>
      <c r="H73" s="1"/>
      <c r="I73" s="8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3.5" customHeight="1">
      <c r="A74" s="1"/>
      <c r="B74" s="107"/>
      <c r="C74" s="107"/>
      <c r="D74" s="1"/>
      <c r="E74" s="1"/>
      <c r="F74" s="187"/>
      <c r="G74" s="1"/>
      <c r="H74" s="1"/>
      <c r="I74" s="8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3.5" customHeight="1">
      <c r="A75" s="1"/>
      <c r="B75" s="107"/>
      <c r="C75" s="107"/>
      <c r="D75" s="1"/>
      <c r="E75" s="1"/>
      <c r="F75" s="187"/>
      <c r="G75" s="1"/>
      <c r="H75" s="1"/>
      <c r="I75" s="8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3.5" customHeight="1">
      <c r="A76" s="1"/>
      <c r="B76" s="107"/>
      <c r="C76" s="107"/>
      <c r="D76" s="1"/>
      <c r="E76" s="1"/>
      <c r="F76" s="187"/>
      <c r="G76" s="1"/>
      <c r="H76" s="1"/>
      <c r="I76" s="8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07"/>
      <c r="C77" s="107"/>
      <c r="D77" s="1"/>
      <c r="E77" s="1"/>
      <c r="F77" s="187"/>
      <c r="G77" s="1"/>
      <c r="H77" s="1"/>
      <c r="I77" s="8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07"/>
      <c r="C78" s="107"/>
      <c r="D78" s="1"/>
      <c r="E78" s="1"/>
      <c r="F78" s="187"/>
      <c r="G78" s="1"/>
      <c r="H78" s="1"/>
      <c r="I78" s="8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07"/>
      <c r="C79" s="107"/>
      <c r="D79" s="1"/>
      <c r="E79" s="1"/>
      <c r="F79" s="187"/>
      <c r="G79" s="1"/>
      <c r="H79" s="1"/>
      <c r="I79" s="8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07"/>
      <c r="C80" s="107"/>
      <c r="D80" s="1"/>
      <c r="E80" s="1"/>
      <c r="F80" s="187"/>
      <c r="G80" s="1"/>
      <c r="H80" s="1"/>
      <c r="I80" s="8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07"/>
      <c r="C81" s="107"/>
      <c r="D81" s="1"/>
      <c r="E81" s="1"/>
      <c r="F81" s="187"/>
      <c r="G81" s="1"/>
      <c r="H81" s="1"/>
      <c r="I81" s="8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07"/>
      <c r="C82" s="107"/>
      <c r="D82" s="1"/>
      <c r="E82" s="1"/>
      <c r="F82" s="187"/>
      <c r="G82" s="1"/>
      <c r="H82" s="1"/>
      <c r="I82" s="8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07"/>
      <c r="C83" s="107"/>
      <c r="D83" s="1"/>
      <c r="E83" s="1"/>
      <c r="F83" s="187"/>
      <c r="G83" s="1"/>
      <c r="H83" s="1"/>
      <c r="I83" s="8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07"/>
      <c r="C84" s="107"/>
      <c r="D84" s="1"/>
      <c r="E84" s="1"/>
      <c r="F84" s="187"/>
      <c r="G84" s="1"/>
      <c r="H84" s="1"/>
      <c r="I84" s="8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07"/>
      <c r="C85" s="107"/>
      <c r="D85" s="1"/>
      <c r="E85" s="1"/>
      <c r="F85" s="187"/>
      <c r="G85" s="1"/>
      <c r="H85" s="1"/>
      <c r="I85" s="8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07"/>
      <c r="C86" s="107"/>
      <c r="D86" s="1"/>
      <c r="E86" s="1"/>
      <c r="F86" s="187"/>
      <c r="G86" s="1"/>
      <c r="H86" s="1"/>
      <c r="I86" s="8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07"/>
      <c r="C87" s="107"/>
      <c r="D87" s="1"/>
      <c r="E87" s="1"/>
      <c r="F87" s="187"/>
      <c r="G87" s="1"/>
      <c r="H87" s="1"/>
      <c r="I87" s="8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07"/>
      <c r="C88" s="107"/>
      <c r="D88" s="1"/>
      <c r="E88" s="1"/>
      <c r="F88" s="187"/>
      <c r="G88" s="1"/>
      <c r="H88" s="1"/>
      <c r="I88" s="8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07"/>
      <c r="C89" s="107"/>
      <c r="D89" s="1"/>
      <c r="E89" s="1"/>
      <c r="F89" s="187"/>
      <c r="G89" s="1"/>
      <c r="H89" s="1"/>
      <c r="I89" s="8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07"/>
      <c r="C90" s="107"/>
      <c r="D90" s="1"/>
      <c r="E90" s="1"/>
      <c r="F90" s="187"/>
      <c r="G90" s="1"/>
      <c r="H90" s="1"/>
      <c r="I90" s="8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07"/>
      <c r="C91" s="107"/>
      <c r="D91" s="1"/>
      <c r="E91" s="1"/>
      <c r="F91" s="187"/>
      <c r="G91" s="1"/>
      <c r="H91" s="1"/>
      <c r="I91" s="8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07"/>
      <c r="C92" s="107"/>
      <c r="D92" s="1"/>
      <c r="E92" s="1"/>
      <c r="F92" s="187"/>
      <c r="G92" s="1"/>
      <c r="H92" s="1"/>
      <c r="I92" s="8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07"/>
      <c r="C93" s="107"/>
      <c r="D93" s="1"/>
      <c r="E93" s="1"/>
      <c r="F93" s="187"/>
      <c r="G93" s="1"/>
      <c r="H93" s="1"/>
      <c r="I93" s="8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07"/>
      <c r="C94" s="107"/>
      <c r="D94" s="1"/>
      <c r="E94" s="1"/>
      <c r="F94" s="187"/>
      <c r="G94" s="1"/>
      <c r="H94" s="1"/>
      <c r="I94" s="8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07"/>
      <c r="C95" s="107"/>
      <c r="D95" s="1"/>
      <c r="E95" s="1"/>
      <c r="F95" s="187"/>
      <c r="G95" s="1"/>
      <c r="H95" s="1"/>
      <c r="I95" s="8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07"/>
      <c r="C96" s="107"/>
      <c r="D96" s="1"/>
      <c r="E96" s="1"/>
      <c r="F96" s="187"/>
      <c r="G96" s="1"/>
      <c r="H96" s="1"/>
      <c r="I96" s="8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07"/>
      <c r="C97" s="107"/>
      <c r="D97" s="1"/>
      <c r="E97" s="1"/>
      <c r="F97" s="187"/>
      <c r="G97" s="1"/>
      <c r="H97" s="1"/>
      <c r="I97" s="8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07"/>
      <c r="C98" s="107"/>
      <c r="D98" s="1"/>
      <c r="E98" s="1"/>
      <c r="F98" s="187"/>
      <c r="G98" s="1"/>
      <c r="H98" s="1"/>
      <c r="I98" s="8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07"/>
      <c r="C99" s="107"/>
      <c r="D99" s="1"/>
      <c r="E99" s="1"/>
      <c r="F99" s="187"/>
      <c r="G99" s="1"/>
      <c r="H99" s="1"/>
      <c r="I99" s="8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07"/>
      <c r="C100" s="107"/>
      <c r="D100" s="1"/>
      <c r="E100" s="1"/>
      <c r="F100" s="187"/>
      <c r="G100" s="1"/>
      <c r="H100" s="1"/>
      <c r="I100" s="8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07"/>
      <c r="C101" s="107"/>
      <c r="D101" s="1"/>
      <c r="E101" s="1"/>
      <c r="F101" s="187"/>
      <c r="G101" s="1"/>
      <c r="H101" s="1"/>
      <c r="I101" s="8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07"/>
      <c r="C102" s="107"/>
      <c r="D102" s="1"/>
      <c r="E102" s="1"/>
      <c r="F102" s="187"/>
      <c r="G102" s="1"/>
      <c r="H102" s="1"/>
      <c r="I102" s="8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07"/>
      <c r="C103" s="107"/>
      <c r="D103" s="1"/>
      <c r="E103" s="1"/>
      <c r="F103" s="187"/>
      <c r="G103" s="1"/>
      <c r="H103" s="1"/>
      <c r="I103" s="8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07"/>
      <c r="C104" s="107"/>
      <c r="D104" s="1"/>
      <c r="E104" s="1"/>
      <c r="F104" s="187"/>
      <c r="G104" s="1"/>
      <c r="H104" s="1"/>
      <c r="I104" s="8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07"/>
      <c r="C105" s="107"/>
      <c r="D105" s="1"/>
      <c r="E105" s="1"/>
      <c r="F105" s="187"/>
      <c r="G105" s="1"/>
      <c r="H105" s="1"/>
      <c r="I105" s="8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07"/>
      <c r="C106" s="107"/>
      <c r="D106" s="1"/>
      <c r="E106" s="1"/>
      <c r="F106" s="187"/>
      <c r="G106" s="1"/>
      <c r="H106" s="1"/>
      <c r="I106" s="8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07"/>
      <c r="C107" s="107"/>
      <c r="D107" s="1"/>
      <c r="E107" s="1"/>
      <c r="F107" s="187"/>
      <c r="G107" s="1"/>
      <c r="H107" s="1"/>
      <c r="I107" s="8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07"/>
      <c r="C108" s="107"/>
      <c r="D108" s="1"/>
      <c r="E108" s="1"/>
      <c r="F108" s="187"/>
      <c r="G108" s="1"/>
      <c r="H108" s="1"/>
      <c r="I108" s="8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07"/>
      <c r="C109" s="107"/>
      <c r="D109" s="1"/>
      <c r="E109" s="1"/>
      <c r="F109" s="187"/>
      <c r="G109" s="1"/>
      <c r="H109" s="1"/>
      <c r="I109" s="8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07"/>
      <c r="C110" s="107"/>
      <c r="D110" s="1"/>
      <c r="E110" s="1"/>
      <c r="F110" s="187"/>
      <c r="G110" s="1"/>
      <c r="H110" s="1"/>
      <c r="I110" s="8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07"/>
      <c r="C111" s="107"/>
      <c r="D111" s="1"/>
      <c r="E111" s="1"/>
      <c r="F111" s="187"/>
      <c r="G111" s="1"/>
      <c r="H111" s="1"/>
      <c r="I111" s="8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07"/>
      <c r="C112" s="107"/>
      <c r="D112" s="1"/>
      <c r="E112" s="1"/>
      <c r="F112" s="187"/>
      <c r="G112" s="1"/>
      <c r="H112" s="1"/>
      <c r="I112" s="8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07"/>
      <c r="C113" s="107"/>
      <c r="D113" s="1"/>
      <c r="E113" s="1"/>
      <c r="F113" s="187"/>
      <c r="G113" s="1"/>
      <c r="H113" s="1"/>
      <c r="I113" s="8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07"/>
      <c r="C114" s="107"/>
      <c r="D114" s="1"/>
      <c r="E114" s="1"/>
      <c r="F114" s="187"/>
      <c r="G114" s="1"/>
      <c r="H114" s="1"/>
      <c r="I114" s="8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07"/>
      <c r="C115" s="107"/>
      <c r="D115" s="1"/>
      <c r="E115" s="1"/>
      <c r="F115" s="187"/>
      <c r="G115" s="1"/>
      <c r="H115" s="1"/>
      <c r="I115" s="8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07"/>
      <c r="C116" s="107"/>
      <c r="D116" s="1"/>
      <c r="E116" s="1"/>
      <c r="F116" s="187"/>
      <c r="G116" s="1"/>
      <c r="H116" s="1"/>
      <c r="I116" s="8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07"/>
      <c r="C117" s="107"/>
      <c r="D117" s="1"/>
      <c r="E117" s="1"/>
      <c r="F117" s="187"/>
      <c r="G117" s="1"/>
      <c r="H117" s="1"/>
      <c r="I117" s="8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07"/>
      <c r="C118" s="107"/>
      <c r="D118" s="1"/>
      <c r="E118" s="1"/>
      <c r="F118" s="187"/>
      <c r="G118" s="1"/>
      <c r="H118" s="1"/>
      <c r="I118" s="8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07"/>
      <c r="C119" s="107"/>
      <c r="D119" s="1"/>
      <c r="E119" s="1"/>
      <c r="F119" s="187"/>
      <c r="G119" s="1"/>
      <c r="H119" s="1"/>
      <c r="I119" s="8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07"/>
      <c r="C120" s="107"/>
      <c r="D120" s="1"/>
      <c r="E120" s="1"/>
      <c r="F120" s="187"/>
      <c r="G120" s="1"/>
      <c r="H120" s="1"/>
      <c r="I120" s="8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07"/>
      <c r="C121" s="107"/>
      <c r="D121" s="1"/>
      <c r="E121" s="1"/>
      <c r="F121" s="187"/>
      <c r="G121" s="1"/>
      <c r="H121" s="1"/>
      <c r="I121" s="8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07"/>
      <c r="C122" s="107"/>
      <c r="D122" s="1"/>
      <c r="E122" s="1"/>
      <c r="F122" s="187"/>
      <c r="G122" s="1"/>
      <c r="H122" s="1"/>
      <c r="I122" s="8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07"/>
      <c r="C123" s="107"/>
      <c r="D123" s="1"/>
      <c r="E123" s="1"/>
      <c r="F123" s="187"/>
      <c r="G123" s="1"/>
      <c r="H123" s="1"/>
      <c r="I123" s="8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07"/>
      <c r="C124" s="107"/>
      <c r="D124" s="1"/>
      <c r="E124" s="1"/>
      <c r="F124" s="187"/>
      <c r="G124" s="1"/>
      <c r="H124" s="1"/>
      <c r="I124" s="8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07"/>
      <c r="C125" s="107"/>
      <c r="D125" s="1"/>
      <c r="E125" s="1"/>
      <c r="F125" s="187"/>
      <c r="G125" s="1"/>
      <c r="H125" s="1"/>
      <c r="I125" s="8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07"/>
      <c r="C126" s="107"/>
      <c r="D126" s="1"/>
      <c r="E126" s="1"/>
      <c r="F126" s="187"/>
      <c r="G126" s="1"/>
      <c r="H126" s="1"/>
      <c r="I126" s="8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07"/>
      <c r="C127" s="107"/>
      <c r="D127" s="1"/>
      <c r="E127" s="1"/>
      <c r="F127" s="187"/>
      <c r="G127" s="1"/>
      <c r="H127" s="1"/>
      <c r="I127" s="8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07"/>
      <c r="C128" s="107"/>
      <c r="D128" s="1"/>
      <c r="E128" s="1"/>
      <c r="F128" s="187"/>
      <c r="G128" s="1"/>
      <c r="H128" s="1"/>
      <c r="I128" s="8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07"/>
      <c r="C129" s="107"/>
      <c r="D129" s="1"/>
      <c r="E129" s="1"/>
      <c r="F129" s="187"/>
      <c r="G129" s="1"/>
      <c r="H129" s="1"/>
      <c r="I129" s="8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07"/>
      <c r="C130" s="107"/>
      <c r="D130" s="1"/>
      <c r="E130" s="1"/>
      <c r="F130" s="187"/>
      <c r="G130" s="1"/>
      <c r="H130" s="1"/>
      <c r="I130" s="8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07"/>
      <c r="C131" s="107"/>
      <c r="D131" s="1"/>
      <c r="E131" s="1"/>
      <c r="F131" s="187"/>
      <c r="G131" s="1"/>
      <c r="H131" s="1"/>
      <c r="I131" s="8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07"/>
      <c r="C132" s="107"/>
      <c r="D132" s="1"/>
      <c r="E132" s="1"/>
      <c r="F132" s="187"/>
      <c r="G132" s="1"/>
      <c r="H132" s="1"/>
      <c r="I132" s="8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07"/>
      <c r="C133" s="107"/>
      <c r="D133" s="1"/>
      <c r="E133" s="1"/>
      <c r="F133" s="187"/>
      <c r="G133" s="1"/>
      <c r="H133" s="1"/>
      <c r="I133" s="8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07"/>
      <c r="C134" s="107"/>
      <c r="D134" s="1"/>
      <c r="E134" s="1"/>
      <c r="F134" s="187"/>
      <c r="G134" s="1"/>
      <c r="H134" s="1"/>
      <c r="I134" s="8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07"/>
      <c r="C135" s="107"/>
      <c r="D135" s="1"/>
      <c r="E135" s="1"/>
      <c r="F135" s="187"/>
      <c r="G135" s="1"/>
      <c r="H135" s="1"/>
      <c r="I135" s="8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07"/>
      <c r="C136" s="107"/>
      <c r="D136" s="1"/>
      <c r="E136" s="1"/>
      <c r="F136" s="187"/>
      <c r="G136" s="1"/>
      <c r="H136" s="1"/>
      <c r="I136" s="8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07"/>
      <c r="C137" s="107"/>
      <c r="D137" s="1"/>
      <c r="E137" s="1"/>
      <c r="F137" s="187"/>
      <c r="G137" s="1"/>
      <c r="H137" s="1"/>
      <c r="I137" s="8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07"/>
      <c r="C138" s="107"/>
      <c r="D138" s="1"/>
      <c r="E138" s="1"/>
      <c r="F138" s="187"/>
      <c r="G138" s="1"/>
      <c r="H138" s="1"/>
      <c r="I138" s="8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07"/>
      <c r="C139" s="107"/>
      <c r="D139" s="1"/>
      <c r="E139" s="1"/>
      <c r="F139" s="187"/>
      <c r="G139" s="1"/>
      <c r="H139" s="1"/>
      <c r="I139" s="8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07"/>
      <c r="C140" s="107"/>
      <c r="D140" s="1"/>
      <c r="E140" s="1"/>
      <c r="F140" s="187"/>
      <c r="G140" s="1"/>
      <c r="H140" s="1"/>
      <c r="I140" s="8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07"/>
      <c r="C141" s="107"/>
      <c r="D141" s="1"/>
      <c r="E141" s="1"/>
      <c r="F141" s="187"/>
      <c r="G141" s="1"/>
      <c r="H141" s="1"/>
      <c r="I141" s="8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07"/>
      <c r="C142" s="107"/>
      <c r="D142" s="1"/>
      <c r="E142" s="1"/>
      <c r="F142" s="187"/>
      <c r="G142" s="1"/>
      <c r="H142" s="1"/>
      <c r="I142" s="8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07"/>
      <c r="C143" s="107"/>
      <c r="D143" s="1"/>
      <c r="E143" s="1"/>
      <c r="F143" s="187"/>
      <c r="G143" s="1"/>
      <c r="H143" s="1"/>
      <c r="I143" s="8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07"/>
      <c r="C144" s="107"/>
      <c r="D144" s="1"/>
      <c r="E144" s="1"/>
      <c r="F144" s="187"/>
      <c r="G144" s="1"/>
      <c r="H144" s="1"/>
      <c r="I144" s="8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07"/>
      <c r="C145" s="107"/>
      <c r="D145" s="1"/>
      <c r="E145" s="1"/>
      <c r="F145" s="187"/>
      <c r="G145" s="1"/>
      <c r="H145" s="1"/>
      <c r="I145" s="8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07"/>
      <c r="C146" s="107"/>
      <c r="D146" s="1"/>
      <c r="E146" s="1"/>
      <c r="F146" s="187"/>
      <c r="G146" s="1"/>
      <c r="H146" s="1"/>
      <c r="I146" s="8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07"/>
      <c r="C147" s="107"/>
      <c r="D147" s="1"/>
      <c r="E147" s="1"/>
      <c r="F147" s="187"/>
      <c r="G147" s="1"/>
      <c r="H147" s="1"/>
      <c r="I147" s="8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07"/>
      <c r="C148" s="107"/>
      <c r="D148" s="1"/>
      <c r="E148" s="1"/>
      <c r="F148" s="187"/>
      <c r="G148" s="1"/>
      <c r="H148" s="1"/>
      <c r="I148" s="8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07"/>
      <c r="C149" s="107"/>
      <c r="D149" s="1"/>
      <c r="E149" s="1"/>
      <c r="F149" s="187"/>
      <c r="G149" s="1"/>
      <c r="H149" s="1"/>
      <c r="I149" s="8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07"/>
      <c r="C150" s="107"/>
      <c r="D150" s="1"/>
      <c r="E150" s="1"/>
      <c r="F150" s="187"/>
      <c r="G150" s="1"/>
      <c r="H150" s="1"/>
      <c r="I150" s="8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07"/>
      <c r="C151" s="107"/>
      <c r="D151" s="1"/>
      <c r="E151" s="1"/>
      <c r="F151" s="187"/>
      <c r="G151" s="1"/>
      <c r="H151" s="1"/>
      <c r="I151" s="8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07"/>
      <c r="C152" s="107"/>
      <c r="D152" s="1"/>
      <c r="E152" s="1"/>
      <c r="F152" s="187"/>
      <c r="G152" s="1"/>
      <c r="H152" s="1"/>
      <c r="I152" s="8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07"/>
      <c r="C153" s="107"/>
      <c r="D153" s="1"/>
      <c r="E153" s="1"/>
      <c r="F153" s="187"/>
      <c r="G153" s="1"/>
      <c r="H153" s="1"/>
      <c r="I153" s="8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07"/>
      <c r="C154" s="107"/>
      <c r="D154" s="1"/>
      <c r="E154" s="1"/>
      <c r="F154" s="187"/>
      <c r="G154" s="1"/>
      <c r="H154" s="1"/>
      <c r="I154" s="8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07"/>
      <c r="C155" s="107"/>
      <c r="D155" s="1"/>
      <c r="E155" s="1"/>
      <c r="F155" s="187"/>
      <c r="G155" s="1"/>
      <c r="H155" s="1"/>
      <c r="I155" s="8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07"/>
      <c r="C156" s="107"/>
      <c r="D156" s="1"/>
      <c r="E156" s="1"/>
      <c r="F156" s="187"/>
      <c r="G156" s="1"/>
      <c r="H156" s="1"/>
      <c r="I156" s="8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07"/>
      <c r="C157" s="107"/>
      <c r="D157" s="1"/>
      <c r="E157" s="1"/>
      <c r="F157" s="187"/>
      <c r="G157" s="1"/>
      <c r="H157" s="1"/>
      <c r="I157" s="8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07"/>
      <c r="C158" s="107"/>
      <c r="D158" s="1"/>
      <c r="E158" s="1"/>
      <c r="F158" s="187"/>
      <c r="G158" s="1"/>
      <c r="H158" s="1"/>
      <c r="I158" s="8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07"/>
      <c r="C159" s="107"/>
      <c r="D159" s="1"/>
      <c r="E159" s="1"/>
      <c r="F159" s="187"/>
      <c r="G159" s="1"/>
      <c r="H159" s="1"/>
      <c r="I159" s="8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07"/>
      <c r="C160" s="107"/>
      <c r="D160" s="1"/>
      <c r="E160" s="1"/>
      <c r="F160" s="187"/>
      <c r="G160" s="1"/>
      <c r="H160" s="1"/>
      <c r="I160" s="8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07"/>
      <c r="C161" s="107"/>
      <c r="D161" s="1"/>
      <c r="E161" s="1"/>
      <c r="F161" s="187"/>
      <c r="G161" s="1"/>
      <c r="H161" s="1"/>
      <c r="I161" s="8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07"/>
      <c r="C162" s="107"/>
      <c r="D162" s="1"/>
      <c r="E162" s="1"/>
      <c r="F162" s="187"/>
      <c r="G162" s="1"/>
      <c r="H162" s="1"/>
      <c r="I162" s="8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07"/>
      <c r="C163" s="107"/>
      <c r="D163" s="1"/>
      <c r="E163" s="1"/>
      <c r="F163" s="187"/>
      <c r="G163" s="1"/>
      <c r="H163" s="1"/>
      <c r="I163" s="8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07"/>
      <c r="C164" s="107"/>
      <c r="D164" s="1"/>
      <c r="E164" s="1"/>
      <c r="F164" s="187"/>
      <c r="G164" s="1"/>
      <c r="H164" s="1"/>
      <c r="I164" s="8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07"/>
      <c r="C165" s="107"/>
      <c r="D165" s="1"/>
      <c r="E165" s="1"/>
      <c r="F165" s="187"/>
      <c r="G165" s="1"/>
      <c r="H165" s="1"/>
      <c r="I165" s="8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07"/>
      <c r="C166" s="107"/>
      <c r="D166" s="1"/>
      <c r="E166" s="1"/>
      <c r="F166" s="187"/>
      <c r="G166" s="1"/>
      <c r="H166" s="1"/>
      <c r="I166" s="8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07"/>
      <c r="C167" s="107"/>
      <c r="D167" s="1"/>
      <c r="E167" s="1"/>
      <c r="F167" s="187"/>
      <c r="G167" s="1"/>
      <c r="H167" s="1"/>
      <c r="I167" s="8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07"/>
      <c r="C168" s="107"/>
      <c r="D168" s="1"/>
      <c r="E168" s="1"/>
      <c r="F168" s="187"/>
      <c r="G168" s="1"/>
      <c r="H168" s="1"/>
      <c r="I168" s="8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07"/>
      <c r="C169" s="107"/>
      <c r="D169" s="1"/>
      <c r="E169" s="1"/>
      <c r="F169" s="187"/>
      <c r="G169" s="1"/>
      <c r="H169" s="1"/>
      <c r="I169" s="8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07"/>
      <c r="C170" s="107"/>
      <c r="D170" s="1"/>
      <c r="E170" s="1"/>
      <c r="F170" s="187"/>
      <c r="G170" s="1"/>
      <c r="H170" s="1"/>
      <c r="I170" s="8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07"/>
      <c r="C171" s="107"/>
      <c r="D171" s="1"/>
      <c r="E171" s="1"/>
      <c r="F171" s="187"/>
      <c r="G171" s="1"/>
      <c r="H171" s="1"/>
      <c r="I171" s="8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07"/>
      <c r="C172" s="107"/>
      <c r="D172" s="1"/>
      <c r="E172" s="1"/>
      <c r="F172" s="187"/>
      <c r="G172" s="1"/>
      <c r="H172" s="1"/>
      <c r="I172" s="8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07"/>
      <c r="C173" s="107"/>
      <c r="D173" s="1"/>
      <c r="E173" s="1"/>
      <c r="F173" s="187"/>
      <c r="G173" s="1"/>
      <c r="H173" s="1"/>
      <c r="I173" s="8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07"/>
      <c r="C174" s="107"/>
      <c r="D174" s="1"/>
      <c r="E174" s="1"/>
      <c r="F174" s="187"/>
      <c r="G174" s="1"/>
      <c r="H174" s="1"/>
      <c r="I174" s="8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07"/>
      <c r="C175" s="107"/>
      <c r="D175" s="1"/>
      <c r="E175" s="1"/>
      <c r="F175" s="187"/>
      <c r="G175" s="1"/>
      <c r="H175" s="1"/>
      <c r="I175" s="8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07"/>
      <c r="C176" s="107"/>
      <c r="D176" s="1"/>
      <c r="E176" s="1"/>
      <c r="F176" s="187"/>
      <c r="G176" s="1"/>
      <c r="H176" s="1"/>
      <c r="I176" s="8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07"/>
      <c r="C177" s="107"/>
      <c r="D177" s="1"/>
      <c r="E177" s="1"/>
      <c r="F177" s="187"/>
      <c r="G177" s="1"/>
      <c r="H177" s="1"/>
      <c r="I177" s="8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07"/>
      <c r="C178" s="107"/>
      <c r="D178" s="1"/>
      <c r="E178" s="1"/>
      <c r="F178" s="187"/>
      <c r="G178" s="1"/>
      <c r="H178" s="1"/>
      <c r="I178" s="8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07"/>
      <c r="C179" s="107"/>
      <c r="D179" s="1"/>
      <c r="E179" s="1"/>
      <c r="F179" s="187"/>
      <c r="G179" s="1"/>
      <c r="H179" s="1"/>
      <c r="I179" s="8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07"/>
      <c r="C180" s="107"/>
      <c r="D180" s="1"/>
      <c r="E180" s="1"/>
      <c r="F180" s="187"/>
      <c r="G180" s="1"/>
      <c r="H180" s="1"/>
      <c r="I180" s="8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07"/>
      <c r="C181" s="107"/>
      <c r="D181" s="1"/>
      <c r="E181" s="1"/>
      <c r="F181" s="187"/>
      <c r="G181" s="1"/>
      <c r="H181" s="1"/>
      <c r="I181" s="8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07"/>
      <c r="C182" s="107"/>
      <c r="D182" s="1"/>
      <c r="E182" s="1"/>
      <c r="F182" s="187"/>
      <c r="G182" s="1"/>
      <c r="H182" s="1"/>
      <c r="I182" s="8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07"/>
      <c r="C183" s="107"/>
      <c r="D183" s="1"/>
      <c r="E183" s="1"/>
      <c r="F183" s="187"/>
      <c r="G183" s="1"/>
      <c r="H183" s="1"/>
      <c r="I183" s="8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07"/>
      <c r="C184" s="107"/>
      <c r="D184" s="1"/>
      <c r="E184" s="1"/>
      <c r="F184" s="187"/>
      <c r="G184" s="1"/>
      <c r="H184" s="1"/>
      <c r="I184" s="8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07"/>
      <c r="C185" s="107"/>
      <c r="D185" s="1"/>
      <c r="E185" s="1"/>
      <c r="F185" s="187"/>
      <c r="G185" s="1"/>
      <c r="H185" s="1"/>
      <c r="I185" s="8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07"/>
      <c r="C186" s="107"/>
      <c r="D186" s="1"/>
      <c r="E186" s="1"/>
      <c r="F186" s="187"/>
      <c r="G186" s="1"/>
      <c r="H186" s="1"/>
      <c r="I186" s="8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07"/>
      <c r="C187" s="107"/>
      <c r="D187" s="1"/>
      <c r="E187" s="1"/>
      <c r="F187" s="187"/>
      <c r="G187" s="1"/>
      <c r="H187" s="1"/>
      <c r="I187" s="8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07"/>
      <c r="C188" s="107"/>
      <c r="D188" s="1"/>
      <c r="E188" s="1"/>
      <c r="F188" s="187"/>
      <c r="G188" s="1"/>
      <c r="H188" s="1"/>
      <c r="I188" s="8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07"/>
      <c r="C189" s="107"/>
      <c r="D189" s="1"/>
      <c r="E189" s="1"/>
      <c r="F189" s="187"/>
      <c r="G189" s="1"/>
      <c r="H189" s="1"/>
      <c r="I189" s="8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07"/>
      <c r="C190" s="107"/>
      <c r="D190" s="1"/>
      <c r="E190" s="1"/>
      <c r="F190" s="187"/>
      <c r="G190" s="1"/>
      <c r="H190" s="1"/>
      <c r="I190" s="8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07"/>
      <c r="C191" s="107"/>
      <c r="D191" s="1"/>
      <c r="E191" s="1"/>
      <c r="F191" s="187"/>
      <c r="G191" s="1"/>
      <c r="H191" s="1"/>
      <c r="I191" s="8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07"/>
      <c r="C192" s="107"/>
      <c r="D192" s="1"/>
      <c r="E192" s="1"/>
      <c r="F192" s="187"/>
      <c r="G192" s="1"/>
      <c r="H192" s="1"/>
      <c r="I192" s="8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07"/>
      <c r="C193" s="107"/>
      <c r="D193" s="1"/>
      <c r="E193" s="1"/>
      <c r="F193" s="187"/>
      <c r="G193" s="1"/>
      <c r="H193" s="1"/>
      <c r="I193" s="8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07"/>
      <c r="C194" s="107"/>
      <c r="D194" s="1"/>
      <c r="E194" s="1"/>
      <c r="F194" s="187"/>
      <c r="G194" s="1"/>
      <c r="H194" s="1"/>
      <c r="I194" s="8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07"/>
      <c r="C195" s="107"/>
      <c r="D195" s="1"/>
      <c r="E195" s="1"/>
      <c r="F195" s="187"/>
      <c r="G195" s="1"/>
      <c r="H195" s="1"/>
      <c r="I195" s="8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07"/>
      <c r="C196" s="107"/>
      <c r="D196" s="1"/>
      <c r="E196" s="1"/>
      <c r="F196" s="187"/>
      <c r="G196" s="1"/>
      <c r="H196" s="1"/>
      <c r="I196" s="8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07"/>
      <c r="C197" s="107"/>
      <c r="D197" s="1"/>
      <c r="E197" s="1"/>
      <c r="F197" s="187"/>
      <c r="G197" s="1"/>
      <c r="H197" s="1"/>
      <c r="I197" s="8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07"/>
      <c r="C198" s="107"/>
      <c r="D198" s="1"/>
      <c r="E198" s="1"/>
      <c r="F198" s="187"/>
      <c r="G198" s="1"/>
      <c r="H198" s="1"/>
      <c r="I198" s="8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07"/>
      <c r="C199" s="107"/>
      <c r="D199" s="1"/>
      <c r="E199" s="1"/>
      <c r="F199" s="187"/>
      <c r="G199" s="1"/>
      <c r="H199" s="1"/>
      <c r="I199" s="8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07"/>
      <c r="C200" s="107"/>
      <c r="D200" s="1"/>
      <c r="E200" s="1"/>
      <c r="F200" s="187"/>
      <c r="G200" s="1"/>
      <c r="H200" s="1"/>
      <c r="I200" s="8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07"/>
      <c r="C201" s="107"/>
      <c r="D201" s="1"/>
      <c r="E201" s="1"/>
      <c r="F201" s="187"/>
      <c r="G201" s="1"/>
      <c r="H201" s="1"/>
      <c r="I201" s="8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07"/>
      <c r="C202" s="107"/>
      <c r="D202" s="1"/>
      <c r="E202" s="1"/>
      <c r="F202" s="187"/>
      <c r="G202" s="1"/>
      <c r="H202" s="1"/>
      <c r="I202" s="8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07"/>
      <c r="C203" s="107"/>
      <c r="D203" s="1"/>
      <c r="E203" s="1"/>
      <c r="F203" s="187"/>
      <c r="G203" s="1"/>
      <c r="H203" s="1"/>
      <c r="I203" s="8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07"/>
      <c r="C204" s="107"/>
      <c r="D204" s="1"/>
      <c r="E204" s="1"/>
      <c r="F204" s="187"/>
      <c r="G204" s="1"/>
      <c r="H204" s="1"/>
      <c r="I204" s="8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07"/>
      <c r="C205" s="107"/>
      <c r="D205" s="1"/>
      <c r="E205" s="1"/>
      <c r="F205" s="187"/>
      <c r="G205" s="1"/>
      <c r="H205" s="1"/>
      <c r="I205" s="8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07"/>
      <c r="C206" s="107"/>
      <c r="D206" s="1"/>
      <c r="E206" s="1"/>
      <c r="F206" s="187"/>
      <c r="G206" s="1"/>
      <c r="H206" s="1"/>
      <c r="I206" s="8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07"/>
      <c r="C207" s="107"/>
      <c r="D207" s="1"/>
      <c r="E207" s="1"/>
      <c r="F207" s="187"/>
      <c r="G207" s="1"/>
      <c r="H207" s="1"/>
      <c r="I207" s="8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07"/>
      <c r="C208" s="107"/>
      <c r="D208" s="1"/>
      <c r="E208" s="1"/>
      <c r="F208" s="187"/>
      <c r="G208" s="1"/>
      <c r="H208" s="1"/>
      <c r="I208" s="8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07"/>
      <c r="C209" s="107"/>
      <c r="D209" s="1"/>
      <c r="E209" s="1"/>
      <c r="F209" s="187"/>
      <c r="G209" s="1"/>
      <c r="H209" s="1"/>
      <c r="I209" s="8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07"/>
      <c r="C210" s="107"/>
      <c r="D210" s="1"/>
      <c r="E210" s="1"/>
      <c r="F210" s="187"/>
      <c r="G210" s="1"/>
      <c r="H210" s="1"/>
      <c r="I210" s="8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07"/>
      <c r="C211" s="107"/>
      <c r="D211" s="1"/>
      <c r="E211" s="1"/>
      <c r="F211" s="187"/>
      <c r="G211" s="1"/>
      <c r="H211" s="1"/>
      <c r="I211" s="8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07"/>
      <c r="C212" s="107"/>
      <c r="D212" s="1"/>
      <c r="E212" s="1"/>
      <c r="F212" s="187"/>
      <c r="G212" s="1"/>
      <c r="H212" s="1"/>
      <c r="I212" s="8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07"/>
      <c r="C213" s="107"/>
      <c r="D213" s="1"/>
      <c r="E213" s="1"/>
      <c r="F213" s="187"/>
      <c r="G213" s="1"/>
      <c r="H213" s="1"/>
      <c r="I213" s="8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07"/>
      <c r="C214" s="107"/>
      <c r="D214" s="1"/>
      <c r="E214" s="1"/>
      <c r="F214" s="187"/>
      <c r="G214" s="1"/>
      <c r="H214" s="1"/>
      <c r="I214" s="8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07"/>
      <c r="C215" s="107"/>
      <c r="D215" s="1"/>
      <c r="E215" s="1"/>
      <c r="F215" s="187"/>
      <c r="G215" s="1"/>
      <c r="H215" s="1"/>
      <c r="I215" s="8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07"/>
      <c r="C216" s="107"/>
      <c r="D216" s="1"/>
      <c r="E216" s="1"/>
      <c r="F216" s="187"/>
      <c r="G216" s="1"/>
      <c r="H216" s="1"/>
      <c r="I216" s="8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07"/>
      <c r="C217" s="107"/>
      <c r="D217" s="1"/>
      <c r="E217" s="1"/>
      <c r="F217" s="187"/>
      <c r="G217" s="1"/>
      <c r="H217" s="1"/>
      <c r="I217" s="8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07"/>
      <c r="C218" s="107"/>
      <c r="D218" s="1"/>
      <c r="E218" s="1"/>
      <c r="F218" s="187"/>
      <c r="G218" s="1"/>
      <c r="H218" s="1"/>
      <c r="I218" s="8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07"/>
      <c r="C219" s="107"/>
      <c r="D219" s="1"/>
      <c r="E219" s="1"/>
      <c r="F219" s="187"/>
      <c r="G219" s="1"/>
      <c r="H219" s="1"/>
      <c r="I219" s="8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07"/>
      <c r="C220" s="107"/>
      <c r="D220" s="1"/>
      <c r="E220" s="1"/>
      <c r="F220" s="187"/>
      <c r="G220" s="1"/>
      <c r="H220" s="1"/>
      <c r="I220" s="8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07"/>
      <c r="C221" s="107"/>
      <c r="D221" s="1"/>
      <c r="E221" s="1"/>
      <c r="F221" s="187"/>
      <c r="G221" s="1"/>
      <c r="H221" s="1"/>
      <c r="I221" s="8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07"/>
      <c r="C222" s="107"/>
      <c r="D222" s="1"/>
      <c r="E222" s="1"/>
      <c r="F222" s="187"/>
      <c r="G222" s="1"/>
      <c r="H222" s="1"/>
      <c r="I222" s="8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07"/>
      <c r="C223" s="107"/>
      <c r="D223" s="1"/>
      <c r="E223" s="1"/>
      <c r="F223" s="187"/>
      <c r="G223" s="1"/>
      <c r="H223" s="1"/>
      <c r="I223" s="8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07"/>
      <c r="C224" s="107"/>
      <c r="D224" s="1"/>
      <c r="E224" s="1"/>
      <c r="F224" s="187"/>
      <c r="G224" s="1"/>
      <c r="H224" s="1"/>
      <c r="I224" s="8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07"/>
      <c r="C225" s="107"/>
      <c r="D225" s="1"/>
      <c r="E225" s="1"/>
      <c r="F225" s="187"/>
      <c r="G225" s="1"/>
      <c r="H225" s="1"/>
      <c r="I225" s="8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07"/>
      <c r="C226" s="107"/>
      <c r="D226" s="1"/>
      <c r="E226" s="1"/>
      <c r="F226" s="187"/>
      <c r="G226" s="1"/>
      <c r="H226" s="1"/>
      <c r="I226" s="8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07"/>
      <c r="C227" s="107"/>
      <c r="D227" s="1"/>
      <c r="E227" s="1"/>
      <c r="F227" s="187"/>
      <c r="G227" s="1"/>
      <c r="H227" s="1"/>
      <c r="I227" s="8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07"/>
      <c r="C228" s="107"/>
      <c r="D228" s="1"/>
      <c r="E228" s="1"/>
      <c r="F228" s="187"/>
      <c r="G228" s="1"/>
      <c r="H228" s="1"/>
      <c r="I228" s="8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07"/>
      <c r="C229" s="107"/>
      <c r="D229" s="1"/>
      <c r="E229" s="1"/>
      <c r="F229" s="187"/>
      <c r="G229" s="1"/>
      <c r="H229" s="1"/>
      <c r="I229" s="8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07"/>
      <c r="C230" s="107"/>
      <c r="D230" s="1"/>
      <c r="E230" s="1"/>
      <c r="F230" s="187"/>
      <c r="G230" s="1"/>
      <c r="H230" s="1"/>
      <c r="I230" s="8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07"/>
      <c r="C231" s="107"/>
      <c r="D231" s="1"/>
      <c r="E231" s="1"/>
      <c r="F231" s="187"/>
      <c r="G231" s="1"/>
      <c r="H231" s="1"/>
      <c r="I231" s="8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07"/>
      <c r="C232" s="107"/>
      <c r="D232" s="1"/>
      <c r="E232" s="1"/>
      <c r="F232" s="187"/>
      <c r="G232" s="1"/>
      <c r="H232" s="1"/>
      <c r="I232" s="8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07"/>
      <c r="C233" s="107"/>
      <c r="D233" s="1"/>
      <c r="E233" s="1"/>
      <c r="F233" s="187"/>
      <c r="G233" s="1"/>
      <c r="H233" s="1"/>
      <c r="I233" s="8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07"/>
      <c r="C234" s="107"/>
      <c r="D234" s="1"/>
      <c r="E234" s="1"/>
      <c r="F234" s="187"/>
      <c r="G234" s="1"/>
      <c r="H234" s="1"/>
      <c r="I234" s="8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07"/>
      <c r="C235" s="107"/>
      <c r="D235" s="1"/>
      <c r="E235" s="1"/>
      <c r="F235" s="187"/>
      <c r="G235" s="1"/>
      <c r="H235" s="1"/>
      <c r="I235" s="8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07"/>
      <c r="C236" s="107"/>
      <c r="D236" s="1"/>
      <c r="E236" s="1"/>
      <c r="F236" s="187"/>
      <c r="G236" s="1"/>
      <c r="H236" s="1"/>
      <c r="I236" s="8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07"/>
      <c r="C237" s="107"/>
      <c r="D237" s="1"/>
      <c r="E237" s="1"/>
      <c r="F237" s="187"/>
      <c r="G237" s="1"/>
      <c r="H237" s="1"/>
      <c r="I237" s="8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07"/>
      <c r="C238" s="107"/>
      <c r="D238" s="1"/>
      <c r="E238" s="1"/>
      <c r="F238" s="187"/>
      <c r="G238" s="1"/>
      <c r="H238" s="1"/>
      <c r="I238" s="8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07"/>
      <c r="C239" s="107"/>
      <c r="D239" s="1"/>
      <c r="E239" s="1"/>
      <c r="F239" s="187"/>
      <c r="G239" s="1"/>
      <c r="H239" s="1"/>
      <c r="I239" s="8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07"/>
      <c r="C240" s="107"/>
      <c r="D240" s="1"/>
      <c r="E240" s="1"/>
      <c r="F240" s="187"/>
      <c r="G240" s="1"/>
      <c r="H240" s="1"/>
      <c r="I240" s="8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07"/>
      <c r="C241" s="107"/>
      <c r="D241" s="1"/>
      <c r="E241" s="1"/>
      <c r="F241" s="187"/>
      <c r="G241" s="1"/>
      <c r="H241" s="1"/>
      <c r="I241" s="8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07"/>
      <c r="C242" s="107"/>
      <c r="D242" s="1"/>
      <c r="E242" s="1"/>
      <c r="F242" s="187"/>
      <c r="G242" s="1"/>
      <c r="H242" s="1"/>
      <c r="I242" s="8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07"/>
      <c r="C243" s="107"/>
      <c r="D243" s="1"/>
      <c r="E243" s="1"/>
      <c r="F243" s="187"/>
      <c r="G243" s="1"/>
      <c r="H243" s="1"/>
      <c r="I243" s="8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07"/>
      <c r="C244" s="107"/>
      <c r="D244" s="1"/>
      <c r="E244" s="1"/>
      <c r="F244" s="187"/>
      <c r="G244" s="1"/>
      <c r="H244" s="1"/>
      <c r="I244" s="8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07"/>
      <c r="C245" s="107"/>
      <c r="D245" s="1"/>
      <c r="E245" s="1"/>
      <c r="F245" s="187"/>
      <c r="G245" s="1"/>
      <c r="H245" s="1"/>
      <c r="I245" s="8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07"/>
      <c r="C246" s="107"/>
      <c r="D246" s="1"/>
      <c r="E246" s="1"/>
      <c r="F246" s="187"/>
      <c r="G246" s="1"/>
      <c r="H246" s="1"/>
      <c r="I246" s="8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07"/>
      <c r="C247" s="107"/>
      <c r="D247" s="1"/>
      <c r="E247" s="1"/>
      <c r="F247" s="187"/>
      <c r="G247" s="1"/>
      <c r="H247" s="1"/>
      <c r="I247" s="8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07"/>
      <c r="C248" s="107"/>
      <c r="D248" s="1"/>
      <c r="E248" s="1"/>
      <c r="F248" s="187"/>
      <c r="G248" s="1"/>
      <c r="H248" s="1"/>
      <c r="I248" s="8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27"/>
      <c r="C249" s="27"/>
      <c r="D249" s="27"/>
      <c r="E249" s="27"/>
      <c r="F249" s="114"/>
      <c r="G249" s="2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5.75" customHeight="1">
      <c r="A250" s="1"/>
      <c r="B250" s="27"/>
      <c r="C250" s="27"/>
      <c r="D250" s="27"/>
      <c r="E250" s="27"/>
      <c r="F250" s="114"/>
      <c r="G250" s="2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5.75" customHeight="1">
      <c r="A251" s="1"/>
      <c r="B251" s="27"/>
      <c r="C251" s="27"/>
      <c r="D251" s="27"/>
      <c r="E251" s="27"/>
      <c r="F251" s="114"/>
      <c r="G251" s="2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5.75" customHeight="1">
      <c r="A252" s="1"/>
      <c r="B252" s="27"/>
      <c r="C252" s="27"/>
      <c r="D252" s="27"/>
      <c r="E252" s="27"/>
      <c r="F252" s="114"/>
      <c r="G252" s="2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5.75" customHeight="1">
      <c r="A253" s="1"/>
      <c r="B253" s="27"/>
      <c r="C253" s="27"/>
      <c r="D253" s="27"/>
      <c r="E253" s="27"/>
      <c r="F253" s="114"/>
      <c r="G253" s="2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5.75" customHeight="1">
      <c r="A254" s="1"/>
      <c r="B254" s="27"/>
      <c r="C254" s="27"/>
      <c r="D254" s="27"/>
      <c r="E254" s="27"/>
      <c r="F254" s="114"/>
      <c r="G254" s="2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5.75" customHeight="1">
      <c r="A255" s="1"/>
      <c r="B255" s="27"/>
      <c r="C255" s="27"/>
      <c r="D255" s="27"/>
      <c r="E255" s="27"/>
      <c r="F255" s="114"/>
      <c r="G255" s="2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5.75" customHeight="1">
      <c r="A256" s="1"/>
      <c r="B256" s="27"/>
      <c r="C256" s="27"/>
      <c r="D256" s="27"/>
      <c r="E256" s="27"/>
      <c r="F256" s="114"/>
      <c r="G256" s="2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5.75" customHeight="1">
      <c r="A257" s="1"/>
      <c r="B257" s="27"/>
      <c r="C257" s="27"/>
      <c r="D257" s="27"/>
      <c r="E257" s="27"/>
      <c r="F257" s="114"/>
      <c r="G257" s="2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5.75" customHeight="1">
      <c r="A258" s="1"/>
      <c r="B258" s="27"/>
      <c r="C258" s="27"/>
      <c r="D258" s="27"/>
      <c r="E258" s="27"/>
      <c r="F258" s="114"/>
      <c r="G258" s="2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5.75" customHeight="1">
      <c r="A259" s="1"/>
      <c r="B259" s="27"/>
      <c r="C259" s="27"/>
      <c r="D259" s="27"/>
      <c r="E259" s="27"/>
      <c r="F259" s="114"/>
      <c r="G259" s="2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5.75" customHeight="1">
      <c r="A260" s="1"/>
      <c r="B260" s="27"/>
      <c r="C260" s="27"/>
      <c r="D260" s="27"/>
      <c r="E260" s="27"/>
      <c r="F260" s="114"/>
      <c r="G260" s="2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5.75" customHeight="1">
      <c r="A261" s="1"/>
      <c r="B261" s="27"/>
      <c r="C261" s="27"/>
      <c r="D261" s="27"/>
      <c r="E261" s="27"/>
      <c r="F261" s="114"/>
      <c r="G261" s="2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5.75" customHeight="1">
      <c r="A262" s="1"/>
      <c r="B262" s="27"/>
      <c r="C262" s="27"/>
      <c r="D262" s="27"/>
      <c r="E262" s="27"/>
      <c r="F262" s="114"/>
      <c r="G262" s="2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5.75" customHeight="1">
      <c r="A263" s="1"/>
      <c r="B263" s="27"/>
      <c r="C263" s="27"/>
      <c r="D263" s="27"/>
      <c r="E263" s="27"/>
      <c r="F263" s="114"/>
      <c r="G263" s="2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5.75" customHeight="1">
      <c r="A264" s="1"/>
      <c r="B264" s="27"/>
      <c r="C264" s="27"/>
      <c r="D264" s="27"/>
      <c r="E264" s="27"/>
      <c r="F264" s="114"/>
      <c r="G264" s="2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5.75" customHeight="1">
      <c r="A265" s="1"/>
      <c r="B265" s="27"/>
      <c r="C265" s="27"/>
      <c r="D265" s="27"/>
      <c r="E265" s="27"/>
      <c r="F265" s="114"/>
      <c r="G265" s="2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5.75" customHeight="1">
      <c r="A266" s="1"/>
      <c r="B266" s="27"/>
      <c r="C266" s="27"/>
      <c r="D266" s="27"/>
      <c r="E266" s="27"/>
      <c r="F266" s="114"/>
      <c r="G266" s="2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5.75" customHeight="1">
      <c r="A267" s="1"/>
      <c r="B267" s="27"/>
      <c r="C267" s="27"/>
      <c r="D267" s="27"/>
      <c r="E267" s="27"/>
      <c r="F267" s="114"/>
      <c r="G267" s="2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5.75" customHeight="1">
      <c r="A268" s="1"/>
      <c r="B268" s="27"/>
      <c r="C268" s="27"/>
      <c r="D268" s="27"/>
      <c r="E268" s="27"/>
      <c r="F268" s="114"/>
      <c r="G268" s="2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5.75" customHeight="1">
      <c r="A269" s="1"/>
      <c r="B269" s="27"/>
      <c r="C269" s="27"/>
      <c r="D269" s="27"/>
      <c r="E269" s="27"/>
      <c r="F269" s="114"/>
      <c r="G269" s="2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5.75" customHeight="1">
      <c r="A270" s="1"/>
      <c r="B270" s="27"/>
      <c r="C270" s="27"/>
      <c r="D270" s="27"/>
      <c r="E270" s="27"/>
      <c r="F270" s="114"/>
      <c r="G270" s="2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5.75" customHeight="1">
      <c r="A271" s="1"/>
      <c r="B271" s="27"/>
      <c r="C271" s="27"/>
      <c r="D271" s="27"/>
      <c r="E271" s="27"/>
      <c r="F271" s="114"/>
      <c r="G271" s="2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5.75" customHeight="1">
      <c r="A272" s="1"/>
      <c r="B272" s="27"/>
      <c r="C272" s="27"/>
      <c r="D272" s="27"/>
      <c r="E272" s="27"/>
      <c r="F272" s="114"/>
      <c r="G272" s="2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5.75" customHeight="1">
      <c r="A273" s="1"/>
      <c r="B273" s="27"/>
      <c r="C273" s="27"/>
      <c r="D273" s="27"/>
      <c r="E273" s="27"/>
      <c r="F273" s="114"/>
      <c r="G273" s="2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5.75" customHeight="1">
      <c r="A274" s="1"/>
      <c r="B274" s="27"/>
      <c r="C274" s="27"/>
      <c r="D274" s="27"/>
      <c r="E274" s="27"/>
      <c r="F274" s="114"/>
      <c r="G274" s="2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5.75" customHeight="1">
      <c r="A275" s="1"/>
      <c r="B275" s="27"/>
      <c r="C275" s="27"/>
      <c r="D275" s="27"/>
      <c r="E275" s="27"/>
      <c r="F275" s="114"/>
      <c r="G275" s="2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5.75" customHeight="1">
      <c r="A276" s="1"/>
      <c r="B276" s="27"/>
      <c r="C276" s="27"/>
      <c r="D276" s="27"/>
      <c r="E276" s="27"/>
      <c r="F276" s="114"/>
      <c r="G276" s="2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5.75" customHeight="1">
      <c r="A277" s="1"/>
      <c r="B277" s="27"/>
      <c r="C277" s="27"/>
      <c r="D277" s="27"/>
      <c r="E277" s="27"/>
      <c r="F277" s="114"/>
      <c r="G277" s="2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5.75" customHeight="1">
      <c r="A278" s="1"/>
      <c r="B278" s="27"/>
      <c r="C278" s="27"/>
      <c r="D278" s="27"/>
      <c r="E278" s="27"/>
      <c r="F278" s="114"/>
      <c r="G278" s="2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5.75" customHeight="1">
      <c r="A279" s="1"/>
      <c r="B279" s="27"/>
      <c r="C279" s="27"/>
      <c r="D279" s="27"/>
      <c r="E279" s="27"/>
      <c r="F279" s="114"/>
      <c r="G279" s="2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5.75" customHeight="1">
      <c r="A280" s="1"/>
      <c r="B280" s="27"/>
      <c r="C280" s="27"/>
      <c r="D280" s="27"/>
      <c r="E280" s="27"/>
      <c r="F280" s="114"/>
      <c r="G280" s="2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5.75" customHeight="1">
      <c r="A281" s="1"/>
      <c r="B281" s="27"/>
      <c r="C281" s="27"/>
      <c r="D281" s="27"/>
      <c r="E281" s="27"/>
      <c r="F281" s="114"/>
      <c r="G281" s="2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5.75" customHeight="1">
      <c r="A282" s="1"/>
      <c r="B282" s="27"/>
      <c r="C282" s="27"/>
      <c r="D282" s="27"/>
      <c r="E282" s="27"/>
      <c r="F282" s="114"/>
      <c r="G282" s="2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5.75" customHeight="1">
      <c r="A283" s="1"/>
      <c r="B283" s="27"/>
      <c r="C283" s="27"/>
      <c r="D283" s="27"/>
      <c r="E283" s="27"/>
      <c r="F283" s="114"/>
      <c r="G283" s="2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5.75" customHeight="1">
      <c r="A284" s="1"/>
      <c r="B284" s="27"/>
      <c r="C284" s="27"/>
      <c r="D284" s="27"/>
      <c r="E284" s="27"/>
      <c r="F284" s="114"/>
      <c r="G284" s="2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5.75" customHeight="1">
      <c r="A285" s="1"/>
      <c r="B285" s="27"/>
      <c r="C285" s="27"/>
      <c r="D285" s="27"/>
      <c r="E285" s="27"/>
      <c r="F285" s="114"/>
      <c r="G285" s="2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5.75" customHeight="1">
      <c r="A286" s="1"/>
      <c r="B286" s="27"/>
      <c r="C286" s="27"/>
      <c r="D286" s="27"/>
      <c r="E286" s="27"/>
      <c r="F286" s="114"/>
      <c r="G286" s="2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5.75" customHeight="1">
      <c r="A287" s="1"/>
      <c r="B287" s="27"/>
      <c r="C287" s="27"/>
      <c r="D287" s="27"/>
      <c r="E287" s="27"/>
      <c r="F287" s="114"/>
      <c r="G287" s="2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5.75" customHeight="1">
      <c r="A288" s="1"/>
      <c r="B288" s="27"/>
      <c r="C288" s="27"/>
      <c r="D288" s="27"/>
      <c r="E288" s="27"/>
      <c r="F288" s="114"/>
      <c r="G288" s="2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5.75" customHeight="1">
      <c r="A289" s="1"/>
      <c r="B289" s="27"/>
      <c r="C289" s="27"/>
      <c r="D289" s="27"/>
      <c r="E289" s="27"/>
      <c r="F289" s="114"/>
      <c r="G289" s="2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5.75" customHeight="1">
      <c r="A290" s="1"/>
      <c r="B290" s="27"/>
      <c r="C290" s="27"/>
      <c r="D290" s="27"/>
      <c r="E290" s="27"/>
      <c r="F290" s="114"/>
      <c r="G290" s="2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5.75" customHeight="1">
      <c r="A291" s="1"/>
      <c r="B291" s="27"/>
      <c r="C291" s="27"/>
      <c r="D291" s="27"/>
      <c r="E291" s="27"/>
      <c r="F291" s="114"/>
      <c r="G291" s="2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5.75" customHeight="1">
      <c r="A292" s="1"/>
      <c r="B292" s="27"/>
      <c r="C292" s="27"/>
      <c r="D292" s="27"/>
      <c r="E292" s="27"/>
      <c r="F292" s="114"/>
      <c r="G292" s="2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5.75" customHeight="1">
      <c r="A293" s="1"/>
      <c r="B293" s="27"/>
      <c r="C293" s="27"/>
      <c r="D293" s="27"/>
      <c r="E293" s="27"/>
      <c r="F293" s="114"/>
      <c r="G293" s="2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5.75" customHeight="1">
      <c r="A294" s="1"/>
      <c r="B294" s="27"/>
      <c r="C294" s="27"/>
      <c r="D294" s="27"/>
      <c r="E294" s="27"/>
      <c r="F294" s="114"/>
      <c r="G294" s="2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5.75" customHeight="1">
      <c r="A295" s="1"/>
      <c r="B295" s="27"/>
      <c r="C295" s="27"/>
      <c r="D295" s="27"/>
      <c r="E295" s="27"/>
      <c r="F295" s="114"/>
      <c r="G295" s="2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5.75" customHeight="1">
      <c r="A296" s="1"/>
      <c r="B296" s="27"/>
      <c r="C296" s="27"/>
      <c r="D296" s="27"/>
      <c r="E296" s="27"/>
      <c r="F296" s="114"/>
      <c r="G296" s="2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5.75" customHeight="1">
      <c r="A297" s="1"/>
      <c r="B297" s="27"/>
      <c r="C297" s="27"/>
      <c r="D297" s="27"/>
      <c r="E297" s="27"/>
      <c r="F297" s="114"/>
      <c r="G297" s="2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5.75" customHeight="1">
      <c r="A298" s="1"/>
      <c r="B298" s="27"/>
      <c r="C298" s="27"/>
      <c r="D298" s="27"/>
      <c r="E298" s="27"/>
      <c r="F298" s="114"/>
      <c r="G298" s="2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5.75" customHeight="1">
      <c r="A299" s="1"/>
      <c r="B299" s="27"/>
      <c r="C299" s="27"/>
      <c r="D299" s="27"/>
      <c r="E299" s="27"/>
      <c r="F299" s="114"/>
      <c r="G299" s="2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5.75" customHeight="1">
      <c r="A300" s="1"/>
      <c r="B300" s="27"/>
      <c r="C300" s="27"/>
      <c r="D300" s="27"/>
      <c r="E300" s="27"/>
      <c r="F300" s="114"/>
      <c r="G300" s="2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5.75" customHeight="1">
      <c r="A301" s="1"/>
      <c r="B301" s="27"/>
      <c r="C301" s="27"/>
      <c r="D301" s="27"/>
      <c r="E301" s="27"/>
      <c r="F301" s="114"/>
      <c r="G301" s="2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5.75" customHeight="1">
      <c r="A302" s="1"/>
      <c r="B302" s="27"/>
      <c r="C302" s="27"/>
      <c r="D302" s="27"/>
      <c r="E302" s="27"/>
      <c r="F302" s="114"/>
      <c r="G302" s="2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5.75" customHeight="1">
      <c r="A303" s="1"/>
      <c r="B303" s="27"/>
      <c r="C303" s="27"/>
      <c r="D303" s="27"/>
      <c r="E303" s="27"/>
      <c r="F303" s="114"/>
      <c r="G303" s="2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5.75" customHeight="1">
      <c r="A304" s="1"/>
      <c r="B304" s="27"/>
      <c r="C304" s="27"/>
      <c r="D304" s="27"/>
      <c r="E304" s="27"/>
      <c r="F304" s="114"/>
      <c r="G304" s="2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5.75" customHeight="1">
      <c r="A305" s="1"/>
      <c r="B305" s="27"/>
      <c r="C305" s="27"/>
      <c r="D305" s="27"/>
      <c r="E305" s="27"/>
      <c r="F305" s="114"/>
      <c r="G305" s="2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5.75" customHeight="1">
      <c r="A306" s="1"/>
      <c r="B306" s="27"/>
      <c r="C306" s="27"/>
      <c r="D306" s="27"/>
      <c r="E306" s="27"/>
      <c r="F306" s="114"/>
      <c r="G306" s="2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5.75" customHeight="1">
      <c r="A307" s="1"/>
      <c r="B307" s="27"/>
      <c r="C307" s="27"/>
      <c r="D307" s="27"/>
      <c r="E307" s="27"/>
      <c r="F307" s="114"/>
      <c r="G307" s="2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5.75" customHeight="1">
      <c r="A308" s="1"/>
      <c r="B308" s="27"/>
      <c r="C308" s="27"/>
      <c r="D308" s="27"/>
      <c r="E308" s="27"/>
      <c r="F308" s="114"/>
      <c r="G308" s="2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5.75" customHeight="1">
      <c r="A309" s="1"/>
      <c r="B309" s="27"/>
      <c r="C309" s="27"/>
      <c r="D309" s="27"/>
      <c r="E309" s="27"/>
      <c r="F309" s="114"/>
      <c r="G309" s="2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5.75" customHeight="1">
      <c r="A310" s="1"/>
      <c r="B310" s="27"/>
      <c r="C310" s="27"/>
      <c r="D310" s="27"/>
      <c r="E310" s="27"/>
      <c r="F310" s="114"/>
      <c r="G310" s="2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5.75" customHeight="1">
      <c r="A311" s="1"/>
      <c r="B311" s="27"/>
      <c r="C311" s="27"/>
      <c r="D311" s="27"/>
      <c r="E311" s="27"/>
      <c r="F311" s="114"/>
      <c r="G311" s="2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5.75" customHeight="1">
      <c r="A312" s="1"/>
      <c r="B312" s="27"/>
      <c r="C312" s="27"/>
      <c r="D312" s="27"/>
      <c r="E312" s="27"/>
      <c r="F312" s="114"/>
      <c r="G312" s="2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5.75" customHeight="1">
      <c r="A313" s="1"/>
      <c r="B313" s="27"/>
      <c r="C313" s="27"/>
      <c r="D313" s="27"/>
      <c r="E313" s="27"/>
      <c r="F313" s="114"/>
      <c r="G313" s="2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5.75" customHeight="1">
      <c r="A314" s="1"/>
      <c r="B314" s="27"/>
      <c r="C314" s="27"/>
      <c r="D314" s="27"/>
      <c r="E314" s="27"/>
      <c r="F314" s="114"/>
      <c r="G314" s="2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5.75" customHeight="1">
      <c r="A315" s="1"/>
      <c r="B315" s="27"/>
      <c r="C315" s="27"/>
      <c r="D315" s="27"/>
      <c r="E315" s="27"/>
      <c r="F315" s="114"/>
      <c r="G315" s="2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5.75" customHeight="1">
      <c r="A316" s="1"/>
      <c r="B316" s="27"/>
      <c r="C316" s="27"/>
      <c r="D316" s="27"/>
      <c r="E316" s="27"/>
      <c r="F316" s="114"/>
      <c r="G316" s="2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5.75" customHeight="1">
      <c r="A317" s="1"/>
      <c r="B317" s="27"/>
      <c r="C317" s="27"/>
      <c r="D317" s="27"/>
      <c r="E317" s="27"/>
      <c r="F317" s="114"/>
      <c r="G317" s="2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5.75" customHeight="1">
      <c r="A318" s="1"/>
      <c r="B318" s="27"/>
      <c r="C318" s="27"/>
      <c r="D318" s="27"/>
      <c r="E318" s="27"/>
      <c r="F318" s="114"/>
      <c r="G318" s="2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5.75" customHeight="1">
      <c r="A319" s="1"/>
      <c r="B319" s="27"/>
      <c r="C319" s="27"/>
      <c r="D319" s="27"/>
      <c r="E319" s="27"/>
      <c r="F319" s="114"/>
      <c r="G319" s="2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5.75" customHeight="1">
      <c r="A320" s="1"/>
      <c r="B320" s="27"/>
      <c r="C320" s="27"/>
      <c r="D320" s="27"/>
      <c r="E320" s="27"/>
      <c r="F320" s="114"/>
      <c r="G320" s="2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5.75" customHeight="1">
      <c r="A321" s="1"/>
      <c r="B321" s="27"/>
      <c r="C321" s="27"/>
      <c r="D321" s="27"/>
      <c r="E321" s="27"/>
      <c r="F321" s="114"/>
      <c r="G321" s="2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5.75" customHeight="1">
      <c r="A322" s="1"/>
      <c r="B322" s="27"/>
      <c r="C322" s="27"/>
      <c r="D322" s="27"/>
      <c r="E322" s="27"/>
      <c r="F322" s="114"/>
      <c r="G322" s="2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5.75" customHeight="1">
      <c r="A323" s="1"/>
      <c r="B323" s="27"/>
      <c r="C323" s="27"/>
      <c r="D323" s="27"/>
      <c r="E323" s="27"/>
      <c r="F323" s="114"/>
      <c r="G323" s="2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5.75" customHeight="1">
      <c r="A324" s="1"/>
      <c r="B324" s="27"/>
      <c r="C324" s="27"/>
      <c r="D324" s="27"/>
      <c r="E324" s="27"/>
      <c r="F324" s="114"/>
      <c r="G324" s="2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5.75" customHeight="1">
      <c r="A325" s="1"/>
      <c r="B325" s="27"/>
      <c r="C325" s="27"/>
      <c r="D325" s="27"/>
      <c r="E325" s="27"/>
      <c r="F325" s="114"/>
      <c r="G325" s="2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5.75" customHeight="1">
      <c r="A326" s="1"/>
      <c r="B326" s="27"/>
      <c r="C326" s="27"/>
      <c r="D326" s="27"/>
      <c r="E326" s="27"/>
      <c r="F326" s="114"/>
      <c r="G326" s="2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5.75" customHeight="1">
      <c r="A327" s="1"/>
      <c r="B327" s="27"/>
      <c r="C327" s="27"/>
      <c r="D327" s="27"/>
      <c r="E327" s="27"/>
      <c r="F327" s="114"/>
      <c r="G327" s="2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5.75" customHeight="1">
      <c r="A328" s="1"/>
      <c r="B328" s="27"/>
      <c r="C328" s="27"/>
      <c r="D328" s="27"/>
      <c r="E328" s="27"/>
      <c r="F328" s="114"/>
      <c r="G328" s="2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5.75" customHeight="1">
      <c r="A329" s="1"/>
      <c r="B329" s="27"/>
      <c r="C329" s="27"/>
      <c r="D329" s="27"/>
      <c r="E329" s="27"/>
      <c r="F329" s="114"/>
      <c r="G329" s="2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5.75" customHeight="1">
      <c r="A330" s="1"/>
      <c r="B330" s="27"/>
      <c r="C330" s="27"/>
      <c r="D330" s="27"/>
      <c r="E330" s="27"/>
      <c r="F330" s="114"/>
      <c r="G330" s="2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5.75" customHeight="1">
      <c r="A331" s="1"/>
      <c r="B331" s="27"/>
      <c r="C331" s="27"/>
      <c r="D331" s="27"/>
      <c r="E331" s="27"/>
      <c r="F331" s="114"/>
      <c r="G331" s="2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5.75" customHeight="1">
      <c r="A332" s="1"/>
      <c r="B332" s="27"/>
      <c r="C332" s="27"/>
      <c r="D332" s="27"/>
      <c r="E332" s="27"/>
      <c r="F332" s="114"/>
      <c r="G332" s="2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5.75" customHeight="1">
      <c r="A333" s="1"/>
      <c r="B333" s="27"/>
      <c r="C333" s="27"/>
      <c r="D333" s="27"/>
      <c r="E333" s="27"/>
      <c r="F333" s="114"/>
      <c r="G333" s="2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5.75" customHeight="1">
      <c r="A334" s="1"/>
      <c r="B334" s="27"/>
      <c r="C334" s="27"/>
      <c r="D334" s="27"/>
      <c r="E334" s="27"/>
      <c r="F334" s="114"/>
      <c r="G334" s="2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5.75" customHeight="1">
      <c r="A335" s="1"/>
      <c r="B335" s="27"/>
      <c r="C335" s="27"/>
      <c r="D335" s="27"/>
      <c r="E335" s="27"/>
      <c r="F335" s="114"/>
      <c r="G335" s="2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5.75" customHeight="1">
      <c r="A336" s="1"/>
      <c r="B336" s="27"/>
      <c r="C336" s="27"/>
      <c r="D336" s="27"/>
      <c r="E336" s="27"/>
      <c r="F336" s="114"/>
      <c r="G336" s="2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5.75" customHeight="1">
      <c r="A337" s="1"/>
      <c r="B337" s="27"/>
      <c r="C337" s="27"/>
      <c r="D337" s="27"/>
      <c r="E337" s="27"/>
      <c r="F337" s="114"/>
      <c r="G337" s="2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5.75" customHeight="1">
      <c r="A338" s="1"/>
      <c r="B338" s="27"/>
      <c r="C338" s="27"/>
      <c r="D338" s="27"/>
      <c r="E338" s="27"/>
      <c r="F338" s="114"/>
      <c r="G338" s="2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5.75" customHeight="1">
      <c r="A339" s="1"/>
      <c r="B339" s="27"/>
      <c r="C339" s="27"/>
      <c r="D339" s="27"/>
      <c r="E339" s="27"/>
      <c r="F339" s="114"/>
      <c r="G339" s="2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5.75" customHeight="1">
      <c r="A340" s="1"/>
      <c r="B340" s="27"/>
      <c r="C340" s="27"/>
      <c r="D340" s="27"/>
      <c r="E340" s="27"/>
      <c r="F340" s="114"/>
      <c r="G340" s="2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5.75" customHeight="1">
      <c r="A341" s="1"/>
      <c r="B341" s="27"/>
      <c r="C341" s="27"/>
      <c r="D341" s="27"/>
      <c r="E341" s="27"/>
      <c r="F341" s="114"/>
      <c r="G341" s="2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5.75" customHeight="1">
      <c r="A342" s="1"/>
      <c r="B342" s="27"/>
      <c r="C342" s="27"/>
      <c r="D342" s="27"/>
      <c r="E342" s="27"/>
      <c r="F342" s="114"/>
      <c r="G342" s="2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5.75" customHeight="1">
      <c r="A343" s="1"/>
      <c r="B343" s="27"/>
      <c r="C343" s="27"/>
      <c r="D343" s="27"/>
      <c r="E343" s="27"/>
      <c r="F343" s="114"/>
      <c r="G343" s="2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5.75" customHeight="1">
      <c r="A344" s="1"/>
      <c r="B344" s="27"/>
      <c r="C344" s="27"/>
      <c r="D344" s="27"/>
      <c r="E344" s="27"/>
      <c r="F344" s="114"/>
      <c r="G344" s="2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5.75" customHeight="1">
      <c r="A345" s="1"/>
      <c r="B345" s="27"/>
      <c r="C345" s="27"/>
      <c r="D345" s="27"/>
      <c r="E345" s="27"/>
      <c r="F345" s="114"/>
      <c r="G345" s="2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5.75" customHeight="1">
      <c r="A346" s="1"/>
      <c r="B346" s="27"/>
      <c r="C346" s="27"/>
      <c r="D346" s="27"/>
      <c r="E346" s="27"/>
      <c r="F346" s="114"/>
      <c r="G346" s="2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5.75" customHeight="1">
      <c r="A347" s="1"/>
      <c r="B347" s="27"/>
      <c r="C347" s="27"/>
      <c r="D347" s="27"/>
      <c r="E347" s="27"/>
      <c r="F347" s="114"/>
      <c r="G347" s="2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5.75" customHeight="1">
      <c r="A348" s="1"/>
      <c r="B348" s="27"/>
      <c r="C348" s="27"/>
      <c r="D348" s="27"/>
      <c r="E348" s="27"/>
      <c r="F348" s="114"/>
      <c r="G348" s="2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5.75" customHeight="1">
      <c r="A349" s="1"/>
      <c r="B349" s="27"/>
      <c r="C349" s="27"/>
      <c r="D349" s="27"/>
      <c r="E349" s="27"/>
      <c r="F349" s="114"/>
      <c r="G349" s="2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5.75" customHeight="1">
      <c r="A350" s="1"/>
      <c r="B350" s="27"/>
      <c r="C350" s="27"/>
      <c r="D350" s="27"/>
      <c r="E350" s="27"/>
      <c r="F350" s="114"/>
      <c r="G350" s="2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5.75" customHeight="1">
      <c r="A351" s="1"/>
      <c r="B351" s="27"/>
      <c r="C351" s="27"/>
      <c r="D351" s="27"/>
      <c r="E351" s="27"/>
      <c r="F351" s="114"/>
      <c r="G351" s="2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5.75" customHeight="1">
      <c r="A352" s="1"/>
      <c r="B352" s="27"/>
      <c r="C352" s="27"/>
      <c r="D352" s="27"/>
      <c r="E352" s="27"/>
      <c r="F352" s="114"/>
      <c r="G352" s="2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5.75" customHeight="1">
      <c r="A353" s="1"/>
      <c r="B353" s="27"/>
      <c r="C353" s="27"/>
      <c r="D353" s="27"/>
      <c r="E353" s="27"/>
      <c r="F353" s="114"/>
      <c r="G353" s="2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5.75" customHeight="1">
      <c r="A354" s="1"/>
      <c r="B354" s="27"/>
      <c r="C354" s="27"/>
      <c r="D354" s="27"/>
      <c r="E354" s="27"/>
      <c r="F354" s="114"/>
      <c r="G354" s="2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5.75" customHeight="1">
      <c r="A355" s="1"/>
      <c r="B355" s="27"/>
      <c r="C355" s="27"/>
      <c r="D355" s="27"/>
      <c r="E355" s="27"/>
      <c r="F355" s="114"/>
      <c r="G355" s="2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5.75" customHeight="1">
      <c r="A356" s="1"/>
      <c r="B356" s="27"/>
      <c r="C356" s="27"/>
      <c r="D356" s="27"/>
      <c r="E356" s="27"/>
      <c r="F356" s="114"/>
      <c r="G356" s="2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5.75" customHeight="1">
      <c r="A357" s="1"/>
      <c r="B357" s="27"/>
      <c r="C357" s="27"/>
      <c r="D357" s="27"/>
      <c r="E357" s="27"/>
      <c r="F357" s="114"/>
      <c r="G357" s="2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5.75" customHeight="1">
      <c r="A358" s="1"/>
      <c r="B358" s="27"/>
      <c r="C358" s="27"/>
      <c r="D358" s="27"/>
      <c r="E358" s="27"/>
      <c r="F358" s="114"/>
      <c r="G358" s="2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5.75" customHeight="1">
      <c r="A359" s="1"/>
      <c r="B359" s="27"/>
      <c r="C359" s="27"/>
      <c r="D359" s="27"/>
      <c r="E359" s="27"/>
      <c r="F359" s="114"/>
      <c r="G359" s="2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5.75" customHeight="1">
      <c r="A360" s="1"/>
      <c r="B360" s="27"/>
      <c r="C360" s="27"/>
      <c r="D360" s="27"/>
      <c r="E360" s="27"/>
      <c r="F360" s="114"/>
      <c r="G360" s="2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5.75" customHeight="1">
      <c r="A361" s="1"/>
      <c r="B361" s="27"/>
      <c r="C361" s="27"/>
      <c r="D361" s="27"/>
      <c r="E361" s="27"/>
      <c r="F361" s="114"/>
      <c r="G361" s="2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5.75" customHeight="1">
      <c r="A362" s="1"/>
      <c r="B362" s="27"/>
      <c r="C362" s="27"/>
      <c r="D362" s="27"/>
      <c r="E362" s="27"/>
      <c r="F362" s="114"/>
      <c r="G362" s="2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5.75" customHeight="1">
      <c r="A363" s="1"/>
      <c r="B363" s="27"/>
      <c r="C363" s="27"/>
      <c r="D363" s="27"/>
      <c r="E363" s="27"/>
      <c r="F363" s="114"/>
      <c r="G363" s="2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5.75" customHeight="1">
      <c r="A364" s="1"/>
      <c r="B364" s="27"/>
      <c r="C364" s="27"/>
      <c r="D364" s="27"/>
      <c r="E364" s="27"/>
      <c r="F364" s="114"/>
      <c r="G364" s="2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5.75" customHeight="1">
      <c r="A365" s="1"/>
      <c r="B365" s="27"/>
      <c r="C365" s="27"/>
      <c r="D365" s="27"/>
      <c r="E365" s="27"/>
      <c r="F365" s="114"/>
      <c r="G365" s="2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5.75" customHeight="1">
      <c r="A366" s="1"/>
      <c r="B366" s="27"/>
      <c r="C366" s="27"/>
      <c r="D366" s="27"/>
      <c r="E366" s="27"/>
      <c r="F366" s="114"/>
      <c r="G366" s="2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5.75" customHeight="1">
      <c r="A367" s="1"/>
      <c r="B367" s="27"/>
      <c r="C367" s="27"/>
      <c r="D367" s="27"/>
      <c r="E367" s="27"/>
      <c r="F367" s="114"/>
      <c r="G367" s="2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5.75" customHeight="1">
      <c r="A368" s="1"/>
      <c r="B368" s="27"/>
      <c r="C368" s="27"/>
      <c r="D368" s="27"/>
      <c r="E368" s="27"/>
      <c r="F368" s="114"/>
      <c r="G368" s="2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5.75" customHeight="1">
      <c r="A369" s="1"/>
      <c r="B369" s="27"/>
      <c r="C369" s="27"/>
      <c r="D369" s="27"/>
      <c r="E369" s="27"/>
      <c r="F369" s="114"/>
      <c r="G369" s="2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5.75" customHeight="1">
      <c r="A370" s="1"/>
      <c r="B370" s="27"/>
      <c r="C370" s="27"/>
      <c r="D370" s="27"/>
      <c r="E370" s="27"/>
      <c r="F370" s="114"/>
      <c r="G370" s="2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ht="15.75" customHeight="1">
      <c r="A371" s="1"/>
      <c r="B371" s="27"/>
      <c r="C371" s="27"/>
      <c r="D371" s="27"/>
      <c r="E371" s="27"/>
      <c r="F371" s="114"/>
      <c r="G371" s="2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ht="15.75" customHeight="1">
      <c r="A372" s="1"/>
      <c r="B372" s="27"/>
      <c r="C372" s="27"/>
      <c r="D372" s="27"/>
      <c r="E372" s="27"/>
      <c r="F372" s="114"/>
      <c r="G372" s="2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ht="15.75" customHeight="1">
      <c r="A373" s="1"/>
      <c r="B373" s="27"/>
      <c r="C373" s="27"/>
      <c r="D373" s="27"/>
      <c r="E373" s="27"/>
      <c r="F373" s="114"/>
      <c r="G373" s="2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ht="15.75" customHeight="1">
      <c r="A374" s="1"/>
      <c r="B374" s="27"/>
      <c r="C374" s="27"/>
      <c r="D374" s="27"/>
      <c r="E374" s="27"/>
      <c r="F374" s="114"/>
      <c r="G374" s="2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ht="15.75" customHeight="1">
      <c r="A375" s="1"/>
      <c r="B375" s="27"/>
      <c r="C375" s="27"/>
      <c r="D375" s="27"/>
      <c r="E375" s="27"/>
      <c r="F375" s="114"/>
      <c r="G375" s="2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ht="15.75" customHeight="1">
      <c r="A376" s="1"/>
      <c r="B376" s="27"/>
      <c r="C376" s="27"/>
      <c r="D376" s="27"/>
      <c r="E376" s="27"/>
      <c r="F376" s="114"/>
      <c r="G376" s="2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ht="15.75" customHeight="1">
      <c r="A377" s="1"/>
      <c r="B377" s="27"/>
      <c r="C377" s="27"/>
      <c r="D377" s="27"/>
      <c r="E377" s="27"/>
      <c r="F377" s="114"/>
      <c r="G377" s="2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ht="15.75" customHeight="1">
      <c r="A378" s="1"/>
      <c r="B378" s="27"/>
      <c r="C378" s="27"/>
      <c r="D378" s="27"/>
      <c r="E378" s="27"/>
      <c r="F378" s="114"/>
      <c r="G378" s="2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ht="15.75" customHeight="1">
      <c r="A379" s="1"/>
      <c r="B379" s="27"/>
      <c r="C379" s="27"/>
      <c r="D379" s="27"/>
      <c r="E379" s="27"/>
      <c r="F379" s="114"/>
      <c r="G379" s="2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ht="15.75" customHeight="1">
      <c r="A380" s="1"/>
      <c r="B380" s="27"/>
      <c r="C380" s="27"/>
      <c r="D380" s="27"/>
      <c r="E380" s="27"/>
      <c r="F380" s="114"/>
      <c r="G380" s="2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ht="15.75" customHeight="1">
      <c r="A381" s="1"/>
      <c r="B381" s="27"/>
      <c r="C381" s="27"/>
      <c r="D381" s="27"/>
      <c r="E381" s="27"/>
      <c r="F381" s="114"/>
      <c r="G381" s="2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ht="15.75" customHeight="1">
      <c r="A382" s="1"/>
      <c r="B382" s="27"/>
      <c r="C382" s="27"/>
      <c r="D382" s="27"/>
      <c r="E382" s="27"/>
      <c r="F382" s="114"/>
      <c r="G382" s="2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ht="15.75" customHeight="1">
      <c r="A383" s="1"/>
      <c r="B383" s="27"/>
      <c r="C383" s="27"/>
      <c r="D383" s="27"/>
      <c r="E383" s="27"/>
      <c r="F383" s="114"/>
      <c r="G383" s="2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ht="15.75" customHeight="1">
      <c r="A384" s="1"/>
      <c r="B384" s="27"/>
      <c r="C384" s="27"/>
      <c r="D384" s="27"/>
      <c r="E384" s="27"/>
      <c r="F384" s="114"/>
      <c r="G384" s="2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ht="15.75" customHeight="1">
      <c r="A385" s="1"/>
      <c r="B385" s="27"/>
      <c r="C385" s="27"/>
      <c r="D385" s="27"/>
      <c r="E385" s="27"/>
      <c r="F385" s="114"/>
      <c r="G385" s="2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ht="15.75" customHeight="1">
      <c r="A386" s="1"/>
      <c r="B386" s="27"/>
      <c r="C386" s="27"/>
      <c r="D386" s="27"/>
      <c r="E386" s="27"/>
      <c r="F386" s="114"/>
      <c r="G386" s="2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ht="15.75" customHeight="1">
      <c r="A387" s="1"/>
      <c r="B387" s="27"/>
      <c r="C387" s="27"/>
      <c r="D387" s="27"/>
      <c r="E387" s="27"/>
      <c r="F387" s="114"/>
      <c r="G387" s="2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ht="15.75" customHeight="1">
      <c r="A388" s="1"/>
      <c r="B388" s="27"/>
      <c r="C388" s="27"/>
      <c r="D388" s="27"/>
      <c r="E388" s="27"/>
      <c r="F388" s="114"/>
      <c r="G388" s="2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ht="15.75" customHeight="1">
      <c r="A389" s="1"/>
      <c r="B389" s="27"/>
      <c r="C389" s="27"/>
      <c r="D389" s="27"/>
      <c r="E389" s="27"/>
      <c r="F389" s="114"/>
      <c r="G389" s="2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ht="15.75" customHeight="1">
      <c r="A390" s="1"/>
      <c r="B390" s="27"/>
      <c r="C390" s="27"/>
      <c r="D390" s="27"/>
      <c r="E390" s="27"/>
      <c r="F390" s="114"/>
      <c r="G390" s="2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ht="15.75" customHeight="1">
      <c r="A391" s="1"/>
      <c r="B391" s="27"/>
      <c r="C391" s="27"/>
      <c r="D391" s="27"/>
      <c r="E391" s="27"/>
      <c r="F391" s="114"/>
      <c r="G391" s="2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ht="15.75" customHeight="1">
      <c r="A392" s="1"/>
      <c r="B392" s="27"/>
      <c r="C392" s="27"/>
      <c r="D392" s="27"/>
      <c r="E392" s="27"/>
      <c r="F392" s="114"/>
      <c r="G392" s="2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ht="15.75" customHeight="1">
      <c r="A393" s="1"/>
      <c r="B393" s="27"/>
      <c r="C393" s="27"/>
      <c r="D393" s="27"/>
      <c r="E393" s="27"/>
      <c r="F393" s="114"/>
      <c r="G393" s="2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ht="15.75" customHeight="1">
      <c r="A394" s="1"/>
      <c r="B394" s="27"/>
      <c r="C394" s="27"/>
      <c r="D394" s="27"/>
      <c r="E394" s="27"/>
      <c r="F394" s="114"/>
      <c r="G394" s="2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ht="15.75" customHeight="1">
      <c r="A395" s="1"/>
      <c r="B395" s="27"/>
      <c r="C395" s="27"/>
      <c r="D395" s="27"/>
      <c r="E395" s="27"/>
      <c r="F395" s="114"/>
      <c r="G395" s="2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ht="15.75" customHeight="1">
      <c r="A396" s="1"/>
      <c r="B396" s="27"/>
      <c r="C396" s="27"/>
      <c r="D396" s="27"/>
      <c r="E396" s="27"/>
      <c r="F396" s="114"/>
      <c r="G396" s="2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ht="15.75" customHeight="1">
      <c r="A397" s="1"/>
      <c r="B397" s="27"/>
      <c r="C397" s="27"/>
      <c r="D397" s="27"/>
      <c r="E397" s="27"/>
      <c r="F397" s="114"/>
      <c r="G397" s="2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ht="15.75" customHeight="1">
      <c r="A398" s="1"/>
      <c r="B398" s="27"/>
      <c r="C398" s="27"/>
      <c r="D398" s="27"/>
      <c r="E398" s="27"/>
      <c r="F398" s="114"/>
      <c r="G398" s="2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ht="15.75" customHeight="1">
      <c r="A399" s="1"/>
      <c r="B399" s="27"/>
      <c r="C399" s="27"/>
      <c r="D399" s="27"/>
      <c r="E399" s="27"/>
      <c r="F399" s="114"/>
      <c r="G399" s="2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ht="15.75" customHeight="1">
      <c r="A400" s="1"/>
      <c r="B400" s="27"/>
      <c r="C400" s="27"/>
      <c r="D400" s="27"/>
      <c r="E400" s="27"/>
      <c r="F400" s="114"/>
      <c r="G400" s="2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ht="15.75" customHeight="1">
      <c r="A401" s="1"/>
      <c r="B401" s="27"/>
      <c r="C401" s="27"/>
      <c r="D401" s="27"/>
      <c r="E401" s="27"/>
      <c r="F401" s="114"/>
      <c r="G401" s="2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ht="15.75" customHeight="1">
      <c r="A402" s="1"/>
      <c r="B402" s="27"/>
      <c r="C402" s="27"/>
      <c r="D402" s="27"/>
      <c r="E402" s="27"/>
      <c r="F402" s="114"/>
      <c r="G402" s="2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ht="15.75" customHeight="1">
      <c r="A403" s="1"/>
      <c r="B403" s="27"/>
      <c r="C403" s="27"/>
      <c r="D403" s="27"/>
      <c r="E403" s="27"/>
      <c r="F403" s="114"/>
      <c r="G403" s="2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ht="15.75" customHeight="1">
      <c r="A404" s="1"/>
      <c r="B404" s="27"/>
      <c r="C404" s="27"/>
      <c r="D404" s="27"/>
      <c r="E404" s="27"/>
      <c r="F404" s="114"/>
      <c r="G404" s="2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ht="15.75" customHeight="1">
      <c r="A405" s="1"/>
      <c r="B405" s="27"/>
      <c r="C405" s="27"/>
      <c r="D405" s="27"/>
      <c r="E405" s="27"/>
      <c r="F405" s="114"/>
      <c r="G405" s="2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ht="15.75" customHeight="1">
      <c r="A406" s="1"/>
      <c r="B406" s="27"/>
      <c r="C406" s="27"/>
      <c r="D406" s="27"/>
      <c r="E406" s="27"/>
      <c r="F406" s="114"/>
      <c r="G406" s="2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ht="15.75" customHeight="1">
      <c r="A407" s="1"/>
      <c r="B407" s="27"/>
      <c r="C407" s="27"/>
      <c r="D407" s="27"/>
      <c r="E407" s="27"/>
      <c r="F407" s="114"/>
      <c r="G407" s="2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ht="15.75" customHeight="1">
      <c r="A408" s="1"/>
      <c r="B408" s="27"/>
      <c r="C408" s="27"/>
      <c r="D408" s="27"/>
      <c r="E408" s="27"/>
      <c r="F408" s="114"/>
      <c r="G408" s="2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ht="15.75" customHeight="1">
      <c r="A409" s="1"/>
      <c r="B409" s="27"/>
      <c r="C409" s="27"/>
      <c r="D409" s="27"/>
      <c r="E409" s="27"/>
      <c r="F409" s="114"/>
      <c r="G409" s="2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ht="15.75" customHeight="1">
      <c r="A410" s="1"/>
      <c r="B410" s="27"/>
      <c r="C410" s="27"/>
      <c r="D410" s="27"/>
      <c r="E410" s="27"/>
      <c r="F410" s="114"/>
      <c r="G410" s="2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ht="15.75" customHeight="1">
      <c r="A411" s="1"/>
      <c r="B411" s="27"/>
      <c r="C411" s="27"/>
      <c r="D411" s="27"/>
      <c r="E411" s="27"/>
      <c r="F411" s="114"/>
      <c r="G411" s="2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ht="15.75" customHeight="1">
      <c r="A412" s="1"/>
      <c r="B412" s="27"/>
      <c r="C412" s="27"/>
      <c r="D412" s="27"/>
      <c r="E412" s="27"/>
      <c r="F412" s="114"/>
      <c r="G412" s="2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ht="15.75" customHeight="1">
      <c r="A413" s="1"/>
      <c r="B413" s="27"/>
      <c r="C413" s="27"/>
      <c r="D413" s="27"/>
      <c r="E413" s="27"/>
      <c r="F413" s="114"/>
      <c r="G413" s="2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ht="15.75" customHeight="1">
      <c r="A414" s="1"/>
      <c r="B414" s="27"/>
      <c r="C414" s="27"/>
      <c r="D414" s="27"/>
      <c r="E414" s="27"/>
      <c r="F414" s="114"/>
      <c r="G414" s="2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ht="15.75" customHeight="1">
      <c r="A415" s="1"/>
      <c r="B415" s="27"/>
      <c r="C415" s="27"/>
      <c r="D415" s="27"/>
      <c r="E415" s="27"/>
      <c r="F415" s="114"/>
      <c r="G415" s="2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ht="15.75" customHeight="1">
      <c r="A416" s="1"/>
      <c r="B416" s="27"/>
      <c r="C416" s="27"/>
      <c r="D416" s="27"/>
      <c r="E416" s="27"/>
      <c r="F416" s="114"/>
      <c r="G416" s="2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ht="15.75" customHeight="1">
      <c r="A417" s="1"/>
      <c r="B417" s="27"/>
      <c r="C417" s="27"/>
      <c r="D417" s="27"/>
      <c r="E417" s="27"/>
      <c r="F417" s="114"/>
      <c r="G417" s="2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ht="15.75" customHeight="1">
      <c r="A418" s="1"/>
      <c r="B418" s="27"/>
      <c r="C418" s="27"/>
      <c r="D418" s="27"/>
      <c r="E418" s="27"/>
      <c r="F418" s="114"/>
      <c r="G418" s="2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ht="15.75" customHeight="1">
      <c r="A419" s="1"/>
      <c r="B419" s="27"/>
      <c r="C419" s="27"/>
      <c r="D419" s="27"/>
      <c r="E419" s="27"/>
      <c r="F419" s="114"/>
      <c r="G419" s="2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ht="15.75" customHeight="1">
      <c r="A420" s="1"/>
      <c r="B420" s="27"/>
      <c r="C420" s="27"/>
      <c r="D420" s="27"/>
      <c r="E420" s="27"/>
      <c r="F420" s="114"/>
      <c r="G420" s="2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ht="15.75" customHeight="1">
      <c r="A421" s="1"/>
      <c r="B421" s="27"/>
      <c r="C421" s="27"/>
      <c r="D421" s="27"/>
      <c r="E421" s="27"/>
      <c r="F421" s="114"/>
      <c r="G421" s="2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ht="15.75" customHeight="1">
      <c r="A422" s="1"/>
      <c r="B422" s="27"/>
      <c r="C422" s="27"/>
      <c r="D422" s="27"/>
      <c r="E422" s="27"/>
      <c r="F422" s="114"/>
      <c r="G422" s="2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ht="15.75" customHeight="1">
      <c r="A423" s="1"/>
      <c r="B423" s="27"/>
      <c r="C423" s="27"/>
      <c r="D423" s="27"/>
      <c r="E423" s="27"/>
      <c r="F423" s="114"/>
      <c r="G423" s="2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ht="15.75" customHeight="1">
      <c r="A424" s="1"/>
      <c r="B424" s="27"/>
      <c r="C424" s="27"/>
      <c r="D424" s="27"/>
      <c r="E424" s="27"/>
      <c r="F424" s="114"/>
      <c r="G424" s="2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ht="15.75" customHeight="1">
      <c r="A425" s="1"/>
      <c r="B425" s="27"/>
      <c r="C425" s="27"/>
      <c r="D425" s="27"/>
      <c r="E425" s="27"/>
      <c r="F425" s="114"/>
      <c r="G425" s="2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ht="15.75" customHeight="1">
      <c r="A426" s="1"/>
      <c r="B426" s="27"/>
      <c r="C426" s="27"/>
      <c r="D426" s="27"/>
      <c r="E426" s="27"/>
      <c r="F426" s="114"/>
      <c r="G426" s="2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ht="15.75" customHeight="1">
      <c r="A427" s="1"/>
      <c r="B427" s="27"/>
      <c r="C427" s="27"/>
      <c r="D427" s="27"/>
      <c r="E427" s="27"/>
      <c r="F427" s="114"/>
      <c r="G427" s="2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ht="15.75" customHeight="1">
      <c r="A428" s="1"/>
      <c r="B428" s="27"/>
      <c r="C428" s="27"/>
      <c r="D428" s="27"/>
      <c r="E428" s="27"/>
      <c r="F428" s="114"/>
      <c r="G428" s="2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ht="15.75" customHeight="1">
      <c r="A429" s="1"/>
      <c r="B429" s="27"/>
      <c r="C429" s="27"/>
      <c r="D429" s="27"/>
      <c r="E429" s="27"/>
      <c r="F429" s="114"/>
      <c r="G429" s="2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ht="15.75" customHeight="1">
      <c r="A430" s="1"/>
      <c r="B430" s="27"/>
      <c r="C430" s="27"/>
      <c r="D430" s="27"/>
      <c r="E430" s="27"/>
      <c r="F430" s="114"/>
      <c r="G430" s="2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ht="15.75" customHeight="1">
      <c r="A431" s="1"/>
      <c r="B431" s="27"/>
      <c r="C431" s="27"/>
      <c r="D431" s="27"/>
      <c r="E431" s="27"/>
      <c r="F431" s="114"/>
      <c r="G431" s="2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ht="15.75" customHeight="1">
      <c r="A432" s="1"/>
      <c r="B432" s="27"/>
      <c r="C432" s="27"/>
      <c r="D432" s="27"/>
      <c r="E432" s="27"/>
      <c r="F432" s="114"/>
      <c r="G432" s="2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ht="15.75" customHeight="1">
      <c r="A433" s="1"/>
      <c r="B433" s="27"/>
      <c r="C433" s="27"/>
      <c r="D433" s="27"/>
      <c r="E433" s="27"/>
      <c r="F433" s="114"/>
      <c r="G433" s="2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ht="15.75" customHeight="1">
      <c r="A434" s="1"/>
      <c r="B434" s="27"/>
      <c r="C434" s="27"/>
      <c r="D434" s="27"/>
      <c r="E434" s="27"/>
      <c r="F434" s="114"/>
      <c r="G434" s="2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ht="15.75" customHeight="1">
      <c r="A435" s="1"/>
      <c r="B435" s="27"/>
      <c r="C435" s="27"/>
      <c r="D435" s="27"/>
      <c r="E435" s="27"/>
      <c r="F435" s="114"/>
      <c r="G435" s="2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ht="15.75" customHeight="1">
      <c r="A436" s="1"/>
      <c r="B436" s="27"/>
      <c r="C436" s="27"/>
      <c r="D436" s="27"/>
      <c r="E436" s="27"/>
      <c r="F436" s="114"/>
      <c r="G436" s="2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ht="15.75" customHeight="1">
      <c r="A437" s="1"/>
      <c r="B437" s="27"/>
      <c r="C437" s="27"/>
      <c r="D437" s="27"/>
      <c r="E437" s="27"/>
      <c r="F437" s="114"/>
      <c r="G437" s="2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ht="15.75" customHeight="1">
      <c r="A438" s="1"/>
      <c r="B438" s="27"/>
      <c r="C438" s="27"/>
      <c r="D438" s="27"/>
      <c r="E438" s="27"/>
      <c r="F438" s="114"/>
      <c r="G438" s="2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ht="15.75" customHeight="1">
      <c r="A439" s="1"/>
      <c r="B439" s="27"/>
      <c r="C439" s="27"/>
      <c r="D439" s="27"/>
      <c r="E439" s="27"/>
      <c r="F439" s="114"/>
      <c r="G439" s="2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ht="15.75" customHeight="1">
      <c r="A440" s="1"/>
      <c r="B440" s="27"/>
      <c r="C440" s="27"/>
      <c r="D440" s="27"/>
      <c r="E440" s="27"/>
      <c r="F440" s="114"/>
      <c r="G440" s="2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ht="15.75" customHeight="1">
      <c r="A441" s="1"/>
      <c r="B441" s="27"/>
      <c r="C441" s="27"/>
      <c r="D441" s="27"/>
      <c r="E441" s="27"/>
      <c r="F441" s="114"/>
      <c r="G441" s="2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ht="15.75" customHeight="1">
      <c r="A442" s="1"/>
      <c r="B442" s="27"/>
      <c r="C442" s="27"/>
      <c r="D442" s="27"/>
      <c r="E442" s="27"/>
      <c r="F442" s="114"/>
      <c r="G442" s="2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ht="15.75" customHeight="1">
      <c r="A443" s="1"/>
      <c r="B443" s="27"/>
      <c r="C443" s="27"/>
      <c r="D443" s="27"/>
      <c r="E443" s="27"/>
      <c r="F443" s="114"/>
      <c r="G443" s="2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ht="15.75" customHeight="1">
      <c r="A444" s="1"/>
      <c r="B444" s="27"/>
      <c r="C444" s="27"/>
      <c r="D444" s="27"/>
      <c r="E444" s="27"/>
      <c r="F444" s="114"/>
      <c r="G444" s="2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ht="15.75" customHeight="1">
      <c r="A445" s="1"/>
      <c r="B445" s="27"/>
      <c r="C445" s="27"/>
      <c r="D445" s="27"/>
      <c r="E445" s="27"/>
      <c r="F445" s="114"/>
      <c r="G445" s="2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ht="15.75" customHeight="1">
      <c r="A446" s="1"/>
      <c r="B446" s="27"/>
      <c r="C446" s="27"/>
      <c r="D446" s="27"/>
      <c r="E446" s="27"/>
      <c r="F446" s="114"/>
      <c r="G446" s="2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ht="15.75" customHeight="1">
      <c r="A447" s="1"/>
      <c r="B447" s="27"/>
      <c r="C447" s="27"/>
      <c r="D447" s="27"/>
      <c r="E447" s="27"/>
      <c r="F447" s="114"/>
      <c r="G447" s="2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ht="15.75" customHeight="1">
      <c r="A448" s="1"/>
      <c r="B448" s="27"/>
      <c r="C448" s="27"/>
      <c r="D448" s="27"/>
      <c r="E448" s="27"/>
      <c r="F448" s="114"/>
      <c r="G448" s="2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ht="15.75" customHeight="1">
      <c r="A449" s="1"/>
      <c r="B449" s="27"/>
      <c r="C449" s="27"/>
      <c r="D449" s="27"/>
      <c r="E449" s="27"/>
      <c r="F449" s="114"/>
      <c r="G449" s="2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ht="15.75" customHeight="1">
      <c r="A450" s="1"/>
      <c r="B450" s="27"/>
      <c r="C450" s="27"/>
      <c r="D450" s="27"/>
      <c r="E450" s="27"/>
      <c r="F450" s="114"/>
      <c r="G450" s="2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ht="15.75" customHeight="1">
      <c r="A451" s="1"/>
      <c r="B451" s="27"/>
      <c r="C451" s="27"/>
      <c r="D451" s="27"/>
      <c r="E451" s="27"/>
      <c r="F451" s="114"/>
      <c r="G451" s="2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ht="15.75" customHeight="1">
      <c r="A452" s="1"/>
      <c r="B452" s="27"/>
      <c r="C452" s="27"/>
      <c r="D452" s="27"/>
      <c r="E452" s="27"/>
      <c r="F452" s="114"/>
      <c r="G452" s="2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ht="15.75" customHeight="1">
      <c r="A453" s="1"/>
      <c r="B453" s="27"/>
      <c r="C453" s="27"/>
      <c r="D453" s="27"/>
      <c r="E453" s="27"/>
      <c r="F453" s="114"/>
      <c r="G453" s="2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ht="15.75" customHeight="1">
      <c r="A454" s="1"/>
      <c r="B454" s="27"/>
      <c r="C454" s="27"/>
      <c r="D454" s="27"/>
      <c r="E454" s="27"/>
      <c r="F454" s="114"/>
      <c r="G454" s="2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ht="15.75" customHeight="1">
      <c r="A455" s="1"/>
      <c r="B455" s="27"/>
      <c r="C455" s="27"/>
      <c r="D455" s="27"/>
      <c r="E455" s="27"/>
      <c r="F455" s="114"/>
      <c r="G455" s="2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ht="15.75" customHeight="1">
      <c r="A456" s="1"/>
      <c r="B456" s="27"/>
      <c r="C456" s="27"/>
      <c r="D456" s="27"/>
      <c r="E456" s="27"/>
      <c r="F456" s="114"/>
      <c r="G456" s="2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ht="15.75" customHeight="1">
      <c r="A457" s="1"/>
      <c r="B457" s="27"/>
      <c r="C457" s="27"/>
      <c r="D457" s="27"/>
      <c r="E457" s="27"/>
      <c r="F457" s="114"/>
      <c r="G457" s="2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ht="15.75" customHeight="1">
      <c r="A458" s="1"/>
      <c r="B458" s="27"/>
      <c r="C458" s="27"/>
      <c r="D458" s="27"/>
      <c r="E458" s="27"/>
      <c r="F458" s="114"/>
      <c r="G458" s="2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ht="15.75" customHeight="1">
      <c r="A459" s="1"/>
      <c r="B459" s="27"/>
      <c r="C459" s="27"/>
      <c r="D459" s="27"/>
      <c r="E459" s="27"/>
      <c r="F459" s="114"/>
      <c r="G459" s="2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ht="15.75" customHeight="1">
      <c r="A460" s="1"/>
      <c r="B460" s="27"/>
      <c r="C460" s="27"/>
      <c r="D460" s="27"/>
      <c r="E460" s="27"/>
      <c r="F460" s="114"/>
      <c r="G460" s="2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ht="15.75" customHeight="1">
      <c r="A461" s="1"/>
      <c r="B461" s="27"/>
      <c r="C461" s="27"/>
      <c r="D461" s="27"/>
      <c r="E461" s="27"/>
      <c r="F461" s="114"/>
      <c r="G461" s="2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ht="15.75" customHeight="1">
      <c r="A462" s="1"/>
      <c r="B462" s="27"/>
      <c r="C462" s="27"/>
      <c r="D462" s="27"/>
      <c r="E462" s="27"/>
      <c r="F462" s="114"/>
      <c r="G462" s="2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ht="15.75" customHeight="1">
      <c r="A463" s="1"/>
      <c r="B463" s="27"/>
      <c r="C463" s="27"/>
      <c r="D463" s="27"/>
      <c r="E463" s="27"/>
      <c r="F463" s="114"/>
      <c r="G463" s="2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ht="15.75" customHeight="1">
      <c r="A464" s="1"/>
      <c r="B464" s="27"/>
      <c r="C464" s="27"/>
      <c r="D464" s="27"/>
      <c r="E464" s="27"/>
      <c r="F464" s="114"/>
      <c r="G464" s="2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ht="15.75" customHeight="1">
      <c r="A465" s="1"/>
      <c r="B465" s="27"/>
      <c r="C465" s="27"/>
      <c r="D465" s="27"/>
      <c r="E465" s="27"/>
      <c r="F465" s="114"/>
      <c r="G465" s="2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ht="15.75" customHeight="1">
      <c r="A466" s="1"/>
      <c r="B466" s="27"/>
      <c r="C466" s="27"/>
      <c r="D466" s="27"/>
      <c r="E466" s="27"/>
      <c r="F466" s="114"/>
      <c r="G466" s="2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ht="15.75" customHeight="1">
      <c r="A467" s="1"/>
      <c r="B467" s="27"/>
      <c r="C467" s="27"/>
      <c r="D467" s="27"/>
      <c r="E467" s="27"/>
      <c r="F467" s="114"/>
      <c r="G467" s="2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ht="15.75" customHeight="1">
      <c r="A468" s="1"/>
      <c r="B468" s="27"/>
      <c r="C468" s="27"/>
      <c r="D468" s="27"/>
      <c r="E468" s="27"/>
      <c r="F468" s="114"/>
      <c r="G468" s="2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ht="15.75" customHeight="1">
      <c r="A469" s="1"/>
      <c r="B469" s="27"/>
      <c r="C469" s="27"/>
      <c r="D469" s="27"/>
      <c r="E469" s="27"/>
      <c r="F469" s="114"/>
      <c r="G469" s="2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ht="15.75" customHeight="1">
      <c r="A470" s="1"/>
      <c r="B470" s="27"/>
      <c r="C470" s="27"/>
      <c r="D470" s="27"/>
      <c r="E470" s="27"/>
      <c r="F470" s="114"/>
      <c r="G470" s="2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ht="15.75" customHeight="1">
      <c r="A471" s="1"/>
      <c r="B471" s="27"/>
      <c r="C471" s="27"/>
      <c r="D471" s="27"/>
      <c r="E471" s="27"/>
      <c r="F471" s="114"/>
      <c r="G471" s="2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ht="15.75" customHeight="1">
      <c r="A472" s="1"/>
      <c r="B472" s="27"/>
      <c r="C472" s="27"/>
      <c r="D472" s="27"/>
      <c r="E472" s="27"/>
      <c r="F472" s="114"/>
      <c r="G472" s="2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ht="15.75" customHeight="1">
      <c r="A473" s="1"/>
      <c r="B473" s="27"/>
      <c r="C473" s="27"/>
      <c r="D473" s="27"/>
      <c r="E473" s="27"/>
      <c r="F473" s="114"/>
      <c r="G473" s="2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ht="15.75" customHeight="1">
      <c r="A474" s="1"/>
      <c r="B474" s="27"/>
      <c r="C474" s="27"/>
      <c r="D474" s="27"/>
      <c r="E474" s="27"/>
      <c r="F474" s="114"/>
      <c r="G474" s="2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ht="15.75" customHeight="1">
      <c r="A475" s="1"/>
      <c r="B475" s="27"/>
      <c r="C475" s="27"/>
      <c r="D475" s="27"/>
      <c r="E475" s="27"/>
      <c r="F475" s="114"/>
      <c r="G475" s="2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ht="15.75" customHeight="1">
      <c r="A476" s="1"/>
      <c r="B476" s="27"/>
      <c r="C476" s="27"/>
      <c r="D476" s="27"/>
      <c r="E476" s="27"/>
      <c r="F476" s="114"/>
      <c r="G476" s="2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ht="15.75" customHeight="1">
      <c r="A477" s="1"/>
      <c r="B477" s="27"/>
      <c r="C477" s="27"/>
      <c r="D477" s="27"/>
      <c r="E477" s="27"/>
      <c r="F477" s="114"/>
      <c r="G477" s="2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ht="15.75" customHeight="1">
      <c r="A478" s="1"/>
      <c r="B478" s="27"/>
      <c r="C478" s="27"/>
      <c r="D478" s="27"/>
      <c r="E478" s="27"/>
      <c r="F478" s="114"/>
      <c r="G478" s="2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ht="15.75" customHeight="1">
      <c r="A479" s="1"/>
      <c r="B479" s="27"/>
      <c r="C479" s="27"/>
      <c r="D479" s="27"/>
      <c r="E479" s="27"/>
      <c r="F479" s="114"/>
      <c r="G479" s="2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ht="15.75" customHeight="1">
      <c r="A480" s="1"/>
      <c r="B480" s="27"/>
      <c r="C480" s="27"/>
      <c r="D480" s="27"/>
      <c r="E480" s="27"/>
      <c r="F480" s="114"/>
      <c r="G480" s="2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ht="15.75" customHeight="1">
      <c r="A481" s="1"/>
      <c r="B481" s="27"/>
      <c r="C481" s="27"/>
      <c r="D481" s="27"/>
      <c r="E481" s="27"/>
      <c r="F481" s="114"/>
      <c r="G481" s="2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ht="15.75" customHeight="1">
      <c r="A482" s="1"/>
      <c r="B482" s="27"/>
      <c r="C482" s="27"/>
      <c r="D482" s="27"/>
      <c r="E482" s="27"/>
      <c r="F482" s="114"/>
      <c r="G482" s="2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ht="15.75" customHeight="1">
      <c r="A483" s="1"/>
      <c r="B483" s="27"/>
      <c r="C483" s="27"/>
      <c r="D483" s="27"/>
      <c r="E483" s="27"/>
      <c r="F483" s="114"/>
      <c r="G483" s="2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ht="15.75" customHeight="1">
      <c r="A484" s="1"/>
      <c r="B484" s="27"/>
      <c r="C484" s="27"/>
      <c r="D484" s="27"/>
      <c r="E484" s="27"/>
      <c r="F484" s="114"/>
      <c r="G484" s="2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ht="15.75" customHeight="1">
      <c r="A485" s="1"/>
      <c r="B485" s="27"/>
      <c r="C485" s="27"/>
      <c r="D485" s="27"/>
      <c r="E485" s="27"/>
      <c r="F485" s="114"/>
      <c r="G485" s="2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ht="15.75" customHeight="1">
      <c r="A486" s="1"/>
      <c r="B486" s="27"/>
      <c r="C486" s="27"/>
      <c r="D486" s="27"/>
      <c r="E486" s="27"/>
      <c r="F486" s="114"/>
      <c r="G486" s="2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ht="15.75" customHeight="1">
      <c r="A487" s="1"/>
      <c r="B487" s="27"/>
      <c r="C487" s="27"/>
      <c r="D487" s="27"/>
      <c r="E487" s="27"/>
      <c r="F487" s="114"/>
      <c r="G487" s="2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ht="15.75" customHeight="1">
      <c r="A488" s="1"/>
      <c r="B488" s="27"/>
      <c r="C488" s="27"/>
      <c r="D488" s="27"/>
      <c r="E488" s="27"/>
      <c r="F488" s="114"/>
      <c r="G488" s="2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ht="15.75" customHeight="1">
      <c r="A489" s="1"/>
      <c r="B489" s="27"/>
      <c r="C489" s="27"/>
      <c r="D489" s="27"/>
      <c r="E489" s="27"/>
      <c r="F489" s="114"/>
      <c r="G489" s="2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ht="15.75" customHeight="1">
      <c r="A490" s="1"/>
      <c r="B490" s="27"/>
      <c r="C490" s="27"/>
      <c r="D490" s="27"/>
      <c r="E490" s="27"/>
      <c r="F490" s="114"/>
      <c r="G490" s="2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ht="15.75" customHeight="1">
      <c r="A491" s="1"/>
      <c r="B491" s="27"/>
      <c r="C491" s="27"/>
      <c r="D491" s="27"/>
      <c r="E491" s="27"/>
      <c r="F491" s="114"/>
      <c r="G491" s="2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ht="15.75" customHeight="1">
      <c r="A492" s="1"/>
      <c r="B492" s="27"/>
      <c r="C492" s="27"/>
      <c r="D492" s="27"/>
      <c r="E492" s="27"/>
      <c r="F492" s="114"/>
      <c r="G492" s="2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ht="15.75" customHeight="1">
      <c r="A493" s="1"/>
      <c r="B493" s="27"/>
      <c r="C493" s="27"/>
      <c r="D493" s="27"/>
      <c r="E493" s="27"/>
      <c r="F493" s="114"/>
      <c r="G493" s="2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ht="15.75" customHeight="1">
      <c r="A494" s="1"/>
      <c r="B494" s="27"/>
      <c r="C494" s="27"/>
      <c r="D494" s="27"/>
      <c r="E494" s="27"/>
      <c r="F494" s="114"/>
      <c r="G494" s="2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ht="15.75" customHeight="1">
      <c r="A495" s="1"/>
      <c r="B495" s="27"/>
      <c r="C495" s="27"/>
      <c r="D495" s="27"/>
      <c r="E495" s="27"/>
      <c r="F495" s="114"/>
      <c r="G495" s="2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ht="15.75" customHeight="1">
      <c r="A496" s="1"/>
      <c r="B496" s="27"/>
      <c r="C496" s="27"/>
      <c r="D496" s="27"/>
      <c r="E496" s="27"/>
      <c r="F496" s="114"/>
      <c r="G496" s="2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ht="15.75" customHeight="1">
      <c r="A497" s="1"/>
      <c r="B497" s="27"/>
      <c r="C497" s="27"/>
      <c r="D497" s="27"/>
      <c r="E497" s="27"/>
      <c r="F497" s="114"/>
      <c r="G497" s="2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ht="15.75" customHeight="1">
      <c r="A498" s="1"/>
      <c r="B498" s="27"/>
      <c r="C498" s="27"/>
      <c r="D498" s="27"/>
      <c r="E498" s="27"/>
      <c r="F498" s="114"/>
      <c r="G498" s="2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ht="15.75" customHeight="1">
      <c r="A499" s="1"/>
      <c r="B499" s="27"/>
      <c r="C499" s="27"/>
      <c r="D499" s="27"/>
      <c r="E499" s="27"/>
      <c r="F499" s="114"/>
      <c r="G499" s="2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ht="15.75" customHeight="1">
      <c r="A500" s="1"/>
      <c r="B500" s="27"/>
      <c r="C500" s="27"/>
      <c r="D500" s="27"/>
      <c r="E500" s="27"/>
      <c r="F500" s="114"/>
      <c r="G500" s="2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ht="15.75" customHeight="1">
      <c r="A501" s="1"/>
      <c r="B501" s="27"/>
      <c r="C501" s="27"/>
      <c r="D501" s="27"/>
      <c r="E501" s="27"/>
      <c r="F501" s="114"/>
      <c r="G501" s="2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ht="15.75" customHeight="1">
      <c r="A502" s="1"/>
      <c r="B502" s="27"/>
      <c r="C502" s="27"/>
      <c r="D502" s="27"/>
      <c r="E502" s="27"/>
      <c r="F502" s="114"/>
      <c r="G502" s="2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ht="15.75" customHeight="1">
      <c r="A503" s="1"/>
      <c r="B503" s="27"/>
      <c r="C503" s="27"/>
      <c r="D503" s="27"/>
      <c r="E503" s="27"/>
      <c r="F503" s="114"/>
      <c r="G503" s="2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ht="15.75" customHeight="1">
      <c r="A504" s="1"/>
      <c r="B504" s="27"/>
      <c r="C504" s="27"/>
      <c r="D504" s="27"/>
      <c r="E504" s="27"/>
      <c r="F504" s="114"/>
      <c r="G504" s="2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ht="15.75" customHeight="1">
      <c r="A505" s="1"/>
      <c r="B505" s="27"/>
      <c r="C505" s="27"/>
      <c r="D505" s="27"/>
      <c r="E505" s="27"/>
      <c r="F505" s="114"/>
      <c r="G505" s="2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ht="15.75" customHeight="1">
      <c r="A506" s="1"/>
      <c r="B506" s="27"/>
      <c r="C506" s="27"/>
      <c r="D506" s="27"/>
      <c r="E506" s="27"/>
      <c r="F506" s="114"/>
      <c r="G506" s="2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ht="15.75" customHeight="1">
      <c r="A507" s="1"/>
      <c r="B507" s="27"/>
      <c r="C507" s="27"/>
      <c r="D507" s="27"/>
      <c r="E507" s="27"/>
      <c r="F507" s="114"/>
      <c r="G507" s="2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ht="15.75" customHeight="1">
      <c r="A508" s="1"/>
      <c r="B508" s="27"/>
      <c r="C508" s="27"/>
      <c r="D508" s="27"/>
      <c r="E508" s="27"/>
      <c r="F508" s="114"/>
      <c r="G508" s="2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ht="15.75" customHeight="1">
      <c r="A509" s="1"/>
      <c r="B509" s="27"/>
      <c r="C509" s="27"/>
      <c r="D509" s="27"/>
      <c r="E509" s="27"/>
      <c r="F509" s="114"/>
      <c r="G509" s="2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ht="15.75" customHeight="1">
      <c r="A510" s="1"/>
      <c r="B510" s="27"/>
      <c r="C510" s="27"/>
      <c r="D510" s="27"/>
      <c r="E510" s="27"/>
      <c r="F510" s="114"/>
      <c r="G510" s="2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ht="15.75" customHeight="1">
      <c r="A511" s="1"/>
      <c r="B511" s="27"/>
      <c r="C511" s="27"/>
      <c r="D511" s="27"/>
      <c r="E511" s="27"/>
      <c r="F511" s="114"/>
      <c r="G511" s="2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ht="15.75" customHeight="1">
      <c r="A512" s="1"/>
      <c r="B512" s="27"/>
      <c r="C512" s="27"/>
      <c r="D512" s="27"/>
      <c r="E512" s="27"/>
      <c r="F512" s="114"/>
      <c r="G512" s="2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ht="15.75" customHeight="1">
      <c r="A513" s="1"/>
      <c r="B513" s="27"/>
      <c r="C513" s="27"/>
      <c r="D513" s="27"/>
      <c r="E513" s="27"/>
      <c r="F513" s="114"/>
      <c r="G513" s="2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ht="15.75" customHeight="1">
      <c r="A514" s="1"/>
      <c r="B514" s="27"/>
      <c r="C514" s="27"/>
      <c r="D514" s="27"/>
      <c r="E514" s="27"/>
      <c r="F514" s="114"/>
      <c r="G514" s="2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ht="15.75" customHeight="1">
      <c r="A515" s="1"/>
      <c r="B515" s="27"/>
      <c r="C515" s="27"/>
      <c r="D515" s="27"/>
      <c r="E515" s="27"/>
      <c r="F515" s="114"/>
      <c r="G515" s="2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ht="15.75" customHeight="1">
      <c r="A516" s="1"/>
      <c r="B516" s="27"/>
      <c r="C516" s="27"/>
      <c r="D516" s="27"/>
      <c r="E516" s="27"/>
      <c r="F516" s="114"/>
      <c r="G516" s="2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ht="15.75" customHeight="1">
      <c r="A517" s="1"/>
      <c r="B517" s="27"/>
      <c r="C517" s="27"/>
      <c r="D517" s="27"/>
      <c r="E517" s="27"/>
      <c r="F517" s="114"/>
      <c r="G517" s="2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ht="15.75" customHeight="1">
      <c r="A518" s="1"/>
      <c r="B518" s="27"/>
      <c r="C518" s="27"/>
      <c r="D518" s="27"/>
      <c r="E518" s="27"/>
      <c r="F518" s="114"/>
      <c r="G518" s="2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ht="15.75" customHeight="1">
      <c r="A519" s="1"/>
      <c r="B519" s="27"/>
      <c r="C519" s="27"/>
      <c r="D519" s="27"/>
      <c r="E519" s="27"/>
      <c r="F519" s="114"/>
      <c r="G519" s="2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ht="15.75" customHeight="1">
      <c r="A520" s="1"/>
      <c r="B520" s="27"/>
      <c r="C520" s="27"/>
      <c r="D520" s="27"/>
      <c r="E520" s="27"/>
      <c r="F520" s="114"/>
      <c r="G520" s="2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ht="15.75" customHeight="1">
      <c r="A521" s="1"/>
      <c r="B521" s="27"/>
      <c r="C521" s="27"/>
      <c r="D521" s="27"/>
      <c r="E521" s="27"/>
      <c r="F521" s="114"/>
      <c r="G521" s="2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ht="15.75" customHeight="1">
      <c r="A522" s="1"/>
      <c r="B522" s="27"/>
      <c r="C522" s="27"/>
      <c r="D522" s="27"/>
      <c r="E522" s="27"/>
      <c r="F522" s="114"/>
      <c r="G522" s="2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ht="15.75" customHeight="1">
      <c r="A523" s="1"/>
      <c r="B523" s="27"/>
      <c r="C523" s="27"/>
      <c r="D523" s="27"/>
      <c r="E523" s="27"/>
      <c r="F523" s="114"/>
      <c r="G523" s="2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ht="15.75" customHeight="1">
      <c r="A524" s="1"/>
      <c r="B524" s="27"/>
      <c r="C524" s="27"/>
      <c r="D524" s="27"/>
      <c r="E524" s="27"/>
      <c r="F524" s="114"/>
      <c r="G524" s="2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ht="15.75" customHeight="1">
      <c r="A525" s="1"/>
      <c r="B525" s="27"/>
      <c r="C525" s="27"/>
      <c r="D525" s="27"/>
      <c r="E525" s="27"/>
      <c r="F525" s="114"/>
      <c r="G525" s="2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ht="15.75" customHeight="1">
      <c r="A526" s="1"/>
      <c r="B526" s="27"/>
      <c r="C526" s="27"/>
      <c r="D526" s="27"/>
      <c r="E526" s="27"/>
      <c r="F526" s="114"/>
      <c r="G526" s="2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ht="15.75" customHeight="1">
      <c r="A527" s="1"/>
      <c r="B527" s="27"/>
      <c r="C527" s="27"/>
      <c r="D527" s="27"/>
      <c r="E527" s="27"/>
      <c r="F527" s="114"/>
      <c r="G527" s="2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ht="15.75" customHeight="1">
      <c r="A528" s="1"/>
      <c r="B528" s="27"/>
      <c r="C528" s="27"/>
      <c r="D528" s="27"/>
      <c r="E528" s="27"/>
      <c r="F528" s="114"/>
      <c r="G528" s="2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ht="15.75" customHeight="1">
      <c r="A529" s="1"/>
      <c r="B529" s="27"/>
      <c r="C529" s="27"/>
      <c r="D529" s="27"/>
      <c r="E529" s="27"/>
      <c r="F529" s="114"/>
      <c r="G529" s="2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ht="15.75" customHeight="1">
      <c r="A530" s="1"/>
      <c r="B530" s="27"/>
      <c r="C530" s="27"/>
      <c r="D530" s="27"/>
      <c r="E530" s="27"/>
      <c r="F530" s="114"/>
      <c r="G530" s="2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ht="15.75" customHeight="1">
      <c r="A531" s="1"/>
      <c r="B531" s="27"/>
      <c r="C531" s="27"/>
      <c r="D531" s="27"/>
      <c r="E531" s="27"/>
      <c r="F531" s="114"/>
      <c r="G531" s="2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ht="15.75" customHeight="1">
      <c r="A532" s="1"/>
      <c r="B532" s="27"/>
      <c r="C532" s="27"/>
      <c r="D532" s="27"/>
      <c r="E532" s="27"/>
      <c r="F532" s="114"/>
      <c r="G532" s="2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ht="15.75" customHeight="1">
      <c r="A533" s="1"/>
      <c r="B533" s="27"/>
      <c r="C533" s="27"/>
      <c r="D533" s="27"/>
      <c r="E533" s="27"/>
      <c r="F533" s="114"/>
      <c r="G533" s="2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5.75" customHeight="1">
      <c r="A534" s="1"/>
      <c r="B534" s="27"/>
      <c r="C534" s="27"/>
      <c r="D534" s="27"/>
      <c r="E534" s="27"/>
      <c r="F534" s="114"/>
      <c r="G534" s="2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5.75" customHeight="1">
      <c r="A535" s="1"/>
      <c r="B535" s="27"/>
      <c r="C535" s="27"/>
      <c r="D535" s="27"/>
      <c r="E535" s="27"/>
      <c r="F535" s="114"/>
      <c r="G535" s="2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5.75" customHeight="1">
      <c r="A536" s="1"/>
      <c r="B536" s="27"/>
      <c r="C536" s="27"/>
      <c r="D536" s="27"/>
      <c r="E536" s="27"/>
      <c r="F536" s="114"/>
      <c r="G536" s="2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ht="15.75" customHeight="1">
      <c r="A537" s="1"/>
      <c r="B537" s="27"/>
      <c r="C537" s="27"/>
      <c r="D537" s="27"/>
      <c r="E537" s="27"/>
      <c r="F537" s="114"/>
      <c r="G537" s="2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ht="15.75" customHeight="1">
      <c r="A538" s="1"/>
      <c r="B538" s="27"/>
      <c r="C538" s="27"/>
      <c r="D538" s="27"/>
      <c r="E538" s="27"/>
      <c r="F538" s="114"/>
      <c r="G538" s="2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ht="15.75" customHeight="1">
      <c r="A539" s="1"/>
      <c r="B539" s="27"/>
      <c r="C539" s="27"/>
      <c r="D539" s="27"/>
      <c r="E539" s="27"/>
      <c r="F539" s="114"/>
      <c r="G539" s="2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ht="15.75" customHeight="1">
      <c r="A540" s="1"/>
      <c r="B540" s="27"/>
      <c r="C540" s="27"/>
      <c r="D540" s="27"/>
      <c r="E540" s="27"/>
      <c r="F540" s="114"/>
      <c r="G540" s="2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ht="15.75" customHeight="1">
      <c r="A541" s="1"/>
      <c r="B541" s="27"/>
      <c r="C541" s="27"/>
      <c r="D541" s="27"/>
      <c r="E541" s="27"/>
      <c r="F541" s="114"/>
      <c r="G541" s="2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ht="15.75" customHeight="1">
      <c r="A542" s="1"/>
      <c r="B542" s="27"/>
      <c r="C542" s="27"/>
      <c r="D542" s="27"/>
      <c r="E542" s="27"/>
      <c r="F542" s="114"/>
      <c r="G542" s="2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ht="15.75" customHeight="1">
      <c r="A543" s="1"/>
      <c r="B543" s="27"/>
      <c r="C543" s="27"/>
      <c r="D543" s="27"/>
      <c r="E543" s="27"/>
      <c r="F543" s="114"/>
      <c r="G543" s="2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ht="15.75" customHeight="1">
      <c r="A544" s="1"/>
      <c r="B544" s="27"/>
      <c r="C544" s="27"/>
      <c r="D544" s="27"/>
      <c r="E544" s="27"/>
      <c r="F544" s="114"/>
      <c r="G544" s="2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ht="15.75" customHeight="1">
      <c r="A545" s="1"/>
      <c r="B545" s="27"/>
      <c r="C545" s="27"/>
      <c r="D545" s="27"/>
      <c r="E545" s="27"/>
      <c r="F545" s="114"/>
      <c r="G545" s="2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ht="15.75" customHeight="1">
      <c r="A546" s="1"/>
      <c r="B546" s="27"/>
      <c r="C546" s="27"/>
      <c r="D546" s="27"/>
      <c r="E546" s="27"/>
      <c r="F546" s="114"/>
      <c r="G546" s="2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ht="15.75" customHeight="1">
      <c r="A547" s="1"/>
      <c r="B547" s="27"/>
      <c r="C547" s="27"/>
      <c r="D547" s="27"/>
      <c r="E547" s="27"/>
      <c r="F547" s="114"/>
      <c r="G547" s="2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ht="15.75" customHeight="1">
      <c r="A548" s="1"/>
      <c r="B548" s="27"/>
      <c r="C548" s="27"/>
      <c r="D548" s="27"/>
      <c r="E548" s="27"/>
      <c r="F548" s="114"/>
      <c r="G548" s="2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ht="15.75" customHeight="1">
      <c r="A549" s="1"/>
      <c r="B549" s="27"/>
      <c r="C549" s="27"/>
      <c r="D549" s="27"/>
      <c r="E549" s="27"/>
      <c r="F549" s="114"/>
      <c r="G549" s="2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ht="15.75" customHeight="1">
      <c r="A550" s="1"/>
      <c r="B550" s="27"/>
      <c r="C550" s="27"/>
      <c r="D550" s="27"/>
      <c r="E550" s="27"/>
      <c r="F550" s="114"/>
      <c r="G550" s="2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ht="15.75" customHeight="1">
      <c r="A551" s="1"/>
      <c r="B551" s="27"/>
      <c r="C551" s="27"/>
      <c r="D551" s="27"/>
      <c r="E551" s="27"/>
      <c r="F551" s="114"/>
      <c r="G551" s="2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ht="15.75" customHeight="1">
      <c r="A552" s="1"/>
      <c r="B552" s="27"/>
      <c r="C552" s="27"/>
      <c r="D552" s="27"/>
      <c r="E552" s="27"/>
      <c r="F552" s="114"/>
      <c r="G552" s="2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ht="15.75" customHeight="1">
      <c r="A553" s="1"/>
      <c r="B553" s="27"/>
      <c r="C553" s="27"/>
      <c r="D553" s="27"/>
      <c r="E553" s="27"/>
      <c r="F553" s="114"/>
      <c r="G553" s="2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ht="15.75" customHeight="1">
      <c r="A554" s="1"/>
      <c r="B554" s="27"/>
      <c r="C554" s="27"/>
      <c r="D554" s="27"/>
      <c r="E554" s="27"/>
      <c r="F554" s="114"/>
      <c r="G554" s="2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ht="15.75" customHeight="1">
      <c r="A555" s="1"/>
      <c r="B555" s="27"/>
      <c r="C555" s="27"/>
      <c r="D555" s="27"/>
      <c r="E555" s="27"/>
      <c r="F555" s="114"/>
      <c r="G555" s="2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ht="15.75" customHeight="1">
      <c r="A556" s="1"/>
      <c r="B556" s="27"/>
      <c r="C556" s="27"/>
      <c r="D556" s="27"/>
      <c r="E556" s="27"/>
      <c r="F556" s="114"/>
      <c r="G556" s="2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ht="15.75" customHeight="1">
      <c r="A557" s="1"/>
      <c r="B557" s="27"/>
      <c r="C557" s="27"/>
      <c r="D557" s="27"/>
      <c r="E557" s="27"/>
      <c r="F557" s="114"/>
      <c r="G557" s="2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ht="15.75" customHeight="1">
      <c r="A558" s="1"/>
      <c r="B558" s="27"/>
      <c r="C558" s="27"/>
      <c r="D558" s="27"/>
      <c r="E558" s="27"/>
      <c r="F558" s="114"/>
      <c r="G558" s="2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ht="15.75" customHeight="1">
      <c r="A559" s="1"/>
      <c r="B559" s="27"/>
      <c r="C559" s="27"/>
      <c r="D559" s="27"/>
      <c r="E559" s="27"/>
      <c r="F559" s="114"/>
      <c r="G559" s="2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ht="15.75" customHeight="1">
      <c r="A560" s="1"/>
      <c r="B560" s="27"/>
      <c r="C560" s="27"/>
      <c r="D560" s="27"/>
      <c r="E560" s="27"/>
      <c r="F560" s="114"/>
      <c r="G560" s="2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ht="15.75" customHeight="1">
      <c r="A561" s="1"/>
      <c r="B561" s="27"/>
      <c r="C561" s="27"/>
      <c r="D561" s="27"/>
      <c r="E561" s="27"/>
      <c r="F561" s="114"/>
      <c r="G561" s="2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ht="15.75" customHeight="1">
      <c r="A562" s="1"/>
      <c r="B562" s="27"/>
      <c r="C562" s="27"/>
      <c r="D562" s="27"/>
      <c r="E562" s="27"/>
      <c r="F562" s="114"/>
      <c r="G562" s="2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ht="15.75" customHeight="1">
      <c r="A563" s="1"/>
      <c r="B563" s="27"/>
      <c r="C563" s="27"/>
      <c r="D563" s="27"/>
      <c r="E563" s="27"/>
      <c r="F563" s="114"/>
      <c r="G563" s="2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ht="15.75" customHeight="1">
      <c r="A564" s="1"/>
      <c r="B564" s="27"/>
      <c r="C564" s="27"/>
      <c r="D564" s="27"/>
      <c r="E564" s="27"/>
      <c r="F564" s="114"/>
      <c r="G564" s="2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ht="15.75" customHeight="1">
      <c r="A565" s="1"/>
      <c r="B565" s="27"/>
      <c r="C565" s="27"/>
      <c r="D565" s="27"/>
      <c r="E565" s="27"/>
      <c r="F565" s="114"/>
      <c r="G565" s="2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ht="15.75" customHeight="1">
      <c r="A566" s="1"/>
      <c r="B566" s="27"/>
      <c r="C566" s="27"/>
      <c r="D566" s="27"/>
      <c r="E566" s="27"/>
      <c r="F566" s="114"/>
      <c r="G566" s="2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ht="15.75" customHeight="1">
      <c r="A567" s="1"/>
      <c r="B567" s="27"/>
      <c r="C567" s="27"/>
      <c r="D567" s="27"/>
      <c r="E567" s="27"/>
      <c r="F567" s="114"/>
      <c r="G567" s="2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ht="15.75" customHeight="1">
      <c r="A568" s="1"/>
      <c r="B568" s="27"/>
      <c r="C568" s="27"/>
      <c r="D568" s="27"/>
      <c r="E568" s="27"/>
      <c r="F568" s="114"/>
      <c r="G568" s="2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ht="15.75" customHeight="1">
      <c r="A569" s="1"/>
      <c r="B569" s="27"/>
      <c r="C569" s="27"/>
      <c r="D569" s="27"/>
      <c r="E569" s="27"/>
      <c r="F569" s="114"/>
      <c r="G569" s="2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ht="15.75" customHeight="1">
      <c r="A570" s="1"/>
      <c r="B570" s="27"/>
      <c r="C570" s="27"/>
      <c r="D570" s="27"/>
      <c r="E570" s="27"/>
      <c r="F570" s="114"/>
      <c r="G570" s="2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ht="15.75" customHeight="1">
      <c r="A571" s="1"/>
      <c r="B571" s="27"/>
      <c r="C571" s="27"/>
      <c r="D571" s="27"/>
      <c r="E571" s="27"/>
      <c r="F571" s="114"/>
      <c r="G571" s="2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ht="15.75" customHeight="1">
      <c r="A572" s="1"/>
      <c r="B572" s="27"/>
      <c r="C572" s="27"/>
      <c r="D572" s="27"/>
      <c r="E572" s="27"/>
      <c r="F572" s="114"/>
      <c r="G572" s="2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ht="15.75" customHeight="1">
      <c r="A573" s="1"/>
      <c r="B573" s="27"/>
      <c r="C573" s="27"/>
      <c r="D573" s="27"/>
      <c r="E573" s="27"/>
      <c r="F573" s="114"/>
      <c r="G573" s="2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ht="15.75" customHeight="1">
      <c r="A574" s="1"/>
      <c r="B574" s="27"/>
      <c r="C574" s="27"/>
      <c r="D574" s="27"/>
      <c r="E574" s="27"/>
      <c r="F574" s="114"/>
      <c r="G574" s="2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ht="15.75" customHeight="1">
      <c r="A575" s="1"/>
      <c r="B575" s="27"/>
      <c r="C575" s="27"/>
      <c r="D575" s="27"/>
      <c r="E575" s="27"/>
      <c r="F575" s="114"/>
      <c r="G575" s="2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ht="15.75" customHeight="1">
      <c r="A576" s="1"/>
      <c r="B576" s="27"/>
      <c r="C576" s="27"/>
      <c r="D576" s="27"/>
      <c r="E576" s="27"/>
      <c r="F576" s="114"/>
      <c r="G576" s="2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ht="15.75" customHeight="1">
      <c r="A577" s="1"/>
      <c r="B577" s="27"/>
      <c r="C577" s="27"/>
      <c r="D577" s="27"/>
      <c r="E577" s="27"/>
      <c r="F577" s="114"/>
      <c r="G577" s="2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ht="15.75" customHeight="1">
      <c r="A578" s="1"/>
      <c r="B578" s="27"/>
      <c r="C578" s="27"/>
      <c r="D578" s="27"/>
      <c r="E578" s="27"/>
      <c r="F578" s="114"/>
      <c r="G578" s="2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ht="15.75" customHeight="1">
      <c r="A579" s="1"/>
      <c r="B579" s="27"/>
      <c r="C579" s="27"/>
      <c r="D579" s="27"/>
      <c r="E579" s="27"/>
      <c r="F579" s="114"/>
      <c r="G579" s="2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ht="15.75" customHeight="1">
      <c r="A580" s="1"/>
      <c r="B580" s="27"/>
      <c r="C580" s="27"/>
      <c r="D580" s="27"/>
      <c r="E580" s="27"/>
      <c r="F580" s="114"/>
      <c r="G580" s="2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ht="15.75" customHeight="1">
      <c r="A581" s="1"/>
      <c r="B581" s="27"/>
      <c r="C581" s="27"/>
      <c r="D581" s="27"/>
      <c r="E581" s="27"/>
      <c r="F581" s="114"/>
      <c r="G581" s="2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ht="15.75" customHeight="1">
      <c r="A582" s="1"/>
      <c r="B582" s="27"/>
      <c r="C582" s="27"/>
      <c r="D582" s="27"/>
      <c r="E582" s="27"/>
      <c r="F582" s="114"/>
      <c r="G582" s="2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ht="15.75" customHeight="1">
      <c r="A583" s="1"/>
      <c r="B583" s="27"/>
      <c r="C583" s="27"/>
      <c r="D583" s="27"/>
      <c r="E583" s="27"/>
      <c r="F583" s="114"/>
      <c r="G583" s="2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ht="15.75" customHeight="1">
      <c r="A584" s="1"/>
      <c r="B584" s="27"/>
      <c r="C584" s="27"/>
      <c r="D584" s="27"/>
      <c r="E584" s="27"/>
      <c r="F584" s="114"/>
      <c r="G584" s="2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ht="15.75" customHeight="1">
      <c r="A585" s="1"/>
      <c r="B585" s="27"/>
      <c r="C585" s="27"/>
      <c r="D585" s="27"/>
      <c r="E585" s="27"/>
      <c r="F585" s="114"/>
      <c r="G585" s="2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ht="15.75" customHeight="1">
      <c r="A586" s="1"/>
      <c r="B586" s="27"/>
      <c r="C586" s="27"/>
      <c r="D586" s="27"/>
      <c r="E586" s="27"/>
      <c r="F586" s="114"/>
      <c r="G586" s="2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ht="15.75" customHeight="1">
      <c r="A587" s="1"/>
      <c r="B587" s="27"/>
      <c r="C587" s="27"/>
      <c r="D587" s="27"/>
      <c r="E587" s="27"/>
      <c r="F587" s="114"/>
      <c r="G587" s="2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ht="15.75" customHeight="1">
      <c r="A588" s="1"/>
      <c r="B588" s="27"/>
      <c r="C588" s="27"/>
      <c r="D588" s="27"/>
      <c r="E588" s="27"/>
      <c r="F588" s="114"/>
      <c r="G588" s="2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ht="15.75" customHeight="1">
      <c r="A589" s="1"/>
      <c r="B589" s="27"/>
      <c r="C589" s="27"/>
      <c r="D589" s="27"/>
      <c r="E589" s="27"/>
      <c r="F589" s="114"/>
      <c r="G589" s="2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ht="15.75" customHeight="1">
      <c r="A590" s="1"/>
      <c r="B590" s="27"/>
      <c r="C590" s="27"/>
      <c r="D590" s="27"/>
      <c r="E590" s="27"/>
      <c r="F590" s="114"/>
      <c r="G590" s="2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ht="15.75" customHeight="1">
      <c r="A591" s="1"/>
      <c r="B591" s="27"/>
      <c r="C591" s="27"/>
      <c r="D591" s="27"/>
      <c r="E591" s="27"/>
      <c r="F591" s="114"/>
      <c r="G591" s="2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ht="15.75" customHeight="1">
      <c r="A592" s="1"/>
      <c r="B592" s="27"/>
      <c r="C592" s="27"/>
      <c r="D592" s="27"/>
      <c r="E592" s="27"/>
      <c r="F592" s="114"/>
      <c r="G592" s="2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ht="15.75" customHeight="1">
      <c r="A593" s="1"/>
      <c r="B593" s="27"/>
      <c r="C593" s="27"/>
      <c r="D593" s="27"/>
      <c r="E593" s="27"/>
      <c r="F593" s="114"/>
      <c r="G593" s="2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ht="15.75" customHeight="1">
      <c r="A594" s="1"/>
      <c r="B594" s="27"/>
      <c r="C594" s="27"/>
      <c r="D594" s="27"/>
      <c r="E594" s="27"/>
      <c r="F594" s="114"/>
      <c r="G594" s="2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ht="15.75" customHeight="1">
      <c r="A595" s="1"/>
      <c r="B595" s="27"/>
      <c r="C595" s="27"/>
      <c r="D595" s="27"/>
      <c r="E595" s="27"/>
      <c r="F595" s="114"/>
      <c r="G595" s="2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ht="15.75" customHeight="1">
      <c r="A596" s="1"/>
      <c r="B596" s="27"/>
      <c r="C596" s="27"/>
      <c r="D596" s="27"/>
      <c r="E596" s="27"/>
      <c r="F596" s="114"/>
      <c r="G596" s="2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ht="15.75" customHeight="1">
      <c r="A597" s="1"/>
      <c r="B597" s="27"/>
      <c r="C597" s="27"/>
      <c r="D597" s="27"/>
      <c r="E597" s="27"/>
      <c r="F597" s="114"/>
      <c r="G597" s="2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ht="15.75" customHeight="1">
      <c r="A598" s="1"/>
      <c r="B598" s="27"/>
      <c r="C598" s="27"/>
      <c r="D598" s="27"/>
      <c r="E598" s="27"/>
      <c r="F598" s="114"/>
      <c r="G598" s="2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ht="15.75" customHeight="1">
      <c r="A599" s="1"/>
      <c r="B599" s="27"/>
      <c r="C599" s="27"/>
      <c r="D599" s="27"/>
      <c r="E599" s="27"/>
      <c r="F599" s="114"/>
      <c r="G599" s="2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ht="15.75" customHeight="1">
      <c r="A600" s="1"/>
      <c r="B600" s="27"/>
      <c r="C600" s="27"/>
      <c r="D600" s="27"/>
      <c r="E600" s="27"/>
      <c r="F600" s="114"/>
      <c r="G600" s="2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ht="15.75" customHeight="1">
      <c r="A601" s="1"/>
      <c r="B601" s="27"/>
      <c r="C601" s="27"/>
      <c r="D601" s="27"/>
      <c r="E601" s="27"/>
      <c r="F601" s="114"/>
      <c r="G601" s="2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ht="15.75" customHeight="1">
      <c r="A602" s="1"/>
      <c r="B602" s="27"/>
      <c r="C602" s="27"/>
      <c r="D602" s="27"/>
      <c r="E602" s="27"/>
      <c r="F602" s="114"/>
      <c r="G602" s="2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ht="15.75" customHeight="1">
      <c r="A603" s="1"/>
      <c r="B603" s="27"/>
      <c r="C603" s="27"/>
      <c r="D603" s="27"/>
      <c r="E603" s="27"/>
      <c r="F603" s="114"/>
      <c r="G603" s="2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ht="15.75" customHeight="1">
      <c r="A604" s="1"/>
      <c r="B604" s="27"/>
      <c r="C604" s="27"/>
      <c r="D604" s="27"/>
      <c r="E604" s="27"/>
      <c r="F604" s="114"/>
      <c r="G604" s="2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ht="15.75" customHeight="1">
      <c r="A605" s="1"/>
      <c r="B605" s="27"/>
      <c r="C605" s="27"/>
      <c r="D605" s="27"/>
      <c r="E605" s="27"/>
      <c r="F605" s="114"/>
      <c r="G605" s="2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ht="15.75" customHeight="1">
      <c r="A606" s="1"/>
      <c r="B606" s="27"/>
      <c r="C606" s="27"/>
      <c r="D606" s="27"/>
      <c r="E606" s="27"/>
      <c r="F606" s="114"/>
      <c r="G606" s="2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ht="15.75" customHeight="1">
      <c r="A607" s="1"/>
      <c r="B607" s="27"/>
      <c r="C607" s="27"/>
      <c r="D607" s="27"/>
      <c r="E607" s="27"/>
      <c r="F607" s="114"/>
      <c r="G607" s="2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ht="15.75" customHeight="1">
      <c r="A608" s="1"/>
      <c r="B608" s="27"/>
      <c r="C608" s="27"/>
      <c r="D608" s="27"/>
      <c r="E608" s="27"/>
      <c r="F608" s="114"/>
      <c r="G608" s="2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ht="15.75" customHeight="1">
      <c r="A609" s="1"/>
      <c r="B609" s="27"/>
      <c r="C609" s="27"/>
      <c r="D609" s="27"/>
      <c r="E609" s="27"/>
      <c r="F609" s="114"/>
      <c r="G609" s="2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ht="15.75" customHeight="1">
      <c r="A610" s="1"/>
      <c r="B610" s="27"/>
      <c r="C610" s="27"/>
      <c r="D610" s="27"/>
      <c r="E610" s="27"/>
      <c r="F610" s="114"/>
      <c r="G610" s="2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ht="15.75" customHeight="1">
      <c r="A611" s="1"/>
      <c r="B611" s="27"/>
      <c r="C611" s="27"/>
      <c r="D611" s="27"/>
      <c r="E611" s="27"/>
      <c r="F611" s="114"/>
      <c r="G611" s="2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ht="15.75" customHeight="1">
      <c r="A612" s="1"/>
      <c r="B612" s="27"/>
      <c r="C612" s="27"/>
      <c r="D612" s="27"/>
      <c r="E612" s="27"/>
      <c r="F612" s="114"/>
      <c r="G612" s="2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ht="15.75" customHeight="1">
      <c r="A613" s="1"/>
      <c r="B613" s="27"/>
      <c r="C613" s="27"/>
      <c r="D613" s="27"/>
      <c r="E613" s="27"/>
      <c r="F613" s="114"/>
      <c r="G613" s="2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ht="15.75" customHeight="1">
      <c r="A614" s="1"/>
      <c r="B614" s="27"/>
      <c r="C614" s="27"/>
      <c r="D614" s="27"/>
      <c r="E614" s="27"/>
      <c r="F614" s="114"/>
      <c r="G614" s="2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ht="15.75" customHeight="1">
      <c r="A615" s="1"/>
      <c r="B615" s="27"/>
      <c r="C615" s="27"/>
      <c r="D615" s="27"/>
      <c r="E615" s="27"/>
      <c r="F615" s="114"/>
      <c r="G615" s="2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ht="15.75" customHeight="1">
      <c r="A616" s="1"/>
      <c r="B616" s="27"/>
      <c r="C616" s="27"/>
      <c r="D616" s="27"/>
      <c r="E616" s="27"/>
      <c r="F616" s="114"/>
      <c r="G616" s="2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ht="15.75" customHeight="1">
      <c r="A617" s="1"/>
      <c r="B617" s="27"/>
      <c r="C617" s="27"/>
      <c r="D617" s="27"/>
      <c r="E617" s="27"/>
      <c r="F617" s="114"/>
      <c r="G617" s="2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ht="15.75" customHeight="1">
      <c r="A618" s="1"/>
      <c r="B618" s="27"/>
      <c r="C618" s="27"/>
      <c r="D618" s="27"/>
      <c r="E618" s="27"/>
      <c r="F618" s="114"/>
      <c r="G618" s="2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ht="15.75" customHeight="1">
      <c r="A619" s="1"/>
      <c r="B619" s="27"/>
      <c r="C619" s="27"/>
      <c r="D619" s="27"/>
      <c r="E619" s="27"/>
      <c r="F619" s="114"/>
      <c r="G619" s="2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ht="15.75" customHeight="1">
      <c r="A620" s="1"/>
      <c r="B620" s="27"/>
      <c r="C620" s="27"/>
      <c r="D620" s="27"/>
      <c r="E620" s="27"/>
      <c r="F620" s="114"/>
      <c r="G620" s="2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ht="15.75" customHeight="1">
      <c r="A621" s="1"/>
      <c r="B621" s="27"/>
      <c r="C621" s="27"/>
      <c r="D621" s="27"/>
      <c r="E621" s="27"/>
      <c r="F621" s="114"/>
      <c r="G621" s="2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ht="15.75" customHeight="1">
      <c r="A622" s="1"/>
      <c r="B622" s="27"/>
      <c r="C622" s="27"/>
      <c r="D622" s="27"/>
      <c r="E622" s="27"/>
      <c r="F622" s="114"/>
      <c r="G622" s="2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ht="15.75" customHeight="1">
      <c r="A623" s="1"/>
      <c r="B623" s="27"/>
      <c r="C623" s="27"/>
      <c r="D623" s="27"/>
      <c r="E623" s="27"/>
      <c r="F623" s="114"/>
      <c r="G623" s="2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ht="15.75" customHeight="1">
      <c r="A624" s="1"/>
      <c r="B624" s="27"/>
      <c r="C624" s="27"/>
      <c r="D624" s="27"/>
      <c r="E624" s="27"/>
      <c r="F624" s="114"/>
      <c r="G624" s="2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ht="15.75" customHeight="1">
      <c r="A625" s="1"/>
      <c r="B625" s="27"/>
      <c r="C625" s="27"/>
      <c r="D625" s="27"/>
      <c r="E625" s="27"/>
      <c r="F625" s="114"/>
      <c r="G625" s="2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ht="15.75" customHeight="1">
      <c r="A626" s="1"/>
      <c r="B626" s="27"/>
      <c r="C626" s="27"/>
      <c r="D626" s="27"/>
      <c r="E626" s="27"/>
      <c r="F626" s="114"/>
      <c r="G626" s="2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ht="15.75" customHeight="1">
      <c r="A627" s="1"/>
      <c r="B627" s="27"/>
      <c r="C627" s="27"/>
      <c r="D627" s="27"/>
      <c r="E627" s="27"/>
      <c r="F627" s="114"/>
      <c r="G627" s="2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ht="15.75" customHeight="1">
      <c r="A628" s="1"/>
      <c r="B628" s="27"/>
      <c r="C628" s="27"/>
      <c r="D628" s="27"/>
      <c r="E628" s="27"/>
      <c r="F628" s="114"/>
      <c r="G628" s="2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ht="15.75" customHeight="1">
      <c r="A629" s="1"/>
      <c r="B629" s="27"/>
      <c r="C629" s="27"/>
      <c r="D629" s="27"/>
      <c r="E629" s="27"/>
      <c r="F629" s="114"/>
      <c r="G629" s="2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ht="15.75" customHeight="1">
      <c r="A630" s="1"/>
      <c r="B630" s="27"/>
      <c r="C630" s="27"/>
      <c r="D630" s="27"/>
      <c r="E630" s="27"/>
      <c r="F630" s="114"/>
      <c r="G630" s="2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ht="15.75" customHeight="1">
      <c r="A631" s="1"/>
      <c r="B631" s="27"/>
      <c r="C631" s="27"/>
      <c r="D631" s="27"/>
      <c r="E631" s="27"/>
      <c r="F631" s="114"/>
      <c r="G631" s="2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ht="15.75" customHeight="1">
      <c r="A632" s="1"/>
      <c r="B632" s="27"/>
      <c r="C632" s="27"/>
      <c r="D632" s="27"/>
      <c r="E632" s="27"/>
      <c r="F632" s="114"/>
      <c r="G632" s="2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ht="15.75" customHeight="1">
      <c r="A633" s="1"/>
      <c r="B633" s="27"/>
      <c r="C633" s="27"/>
      <c r="D633" s="27"/>
      <c r="E633" s="27"/>
      <c r="F633" s="114"/>
      <c r="G633" s="2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ht="15.75" customHeight="1">
      <c r="A634" s="1"/>
      <c r="B634" s="27"/>
      <c r="C634" s="27"/>
      <c r="D634" s="27"/>
      <c r="E634" s="27"/>
      <c r="F634" s="114"/>
      <c r="G634" s="2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ht="15.75" customHeight="1">
      <c r="A635" s="1"/>
      <c r="B635" s="27"/>
      <c r="C635" s="27"/>
      <c r="D635" s="27"/>
      <c r="E635" s="27"/>
      <c r="F635" s="114"/>
      <c r="G635" s="2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ht="15.75" customHeight="1">
      <c r="A636" s="1"/>
      <c r="B636" s="27"/>
      <c r="C636" s="27"/>
      <c r="D636" s="27"/>
      <c r="E636" s="27"/>
      <c r="F636" s="114"/>
      <c r="G636" s="2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ht="15.75" customHeight="1">
      <c r="A637" s="1"/>
      <c r="B637" s="27"/>
      <c r="C637" s="27"/>
      <c r="D637" s="27"/>
      <c r="E637" s="27"/>
      <c r="F637" s="114"/>
      <c r="G637" s="2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ht="15.75" customHeight="1">
      <c r="A638" s="1"/>
      <c r="B638" s="27"/>
      <c r="C638" s="27"/>
      <c r="D638" s="27"/>
      <c r="E638" s="27"/>
      <c r="F638" s="114"/>
      <c r="G638" s="2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ht="15.75" customHeight="1">
      <c r="A639" s="1"/>
      <c r="B639" s="27"/>
      <c r="C639" s="27"/>
      <c r="D639" s="27"/>
      <c r="E639" s="27"/>
      <c r="F639" s="114"/>
      <c r="G639" s="2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ht="15.75" customHeight="1">
      <c r="A640" s="1"/>
      <c r="B640" s="27"/>
      <c r="C640" s="27"/>
      <c r="D640" s="27"/>
      <c r="E640" s="27"/>
      <c r="F640" s="114"/>
      <c r="G640" s="2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ht="15.75" customHeight="1">
      <c r="A641" s="1"/>
      <c r="B641" s="27"/>
      <c r="C641" s="27"/>
      <c r="D641" s="27"/>
      <c r="E641" s="27"/>
      <c r="F641" s="114"/>
      <c r="G641" s="2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ht="15.75" customHeight="1">
      <c r="A642" s="1"/>
      <c r="B642" s="27"/>
      <c r="C642" s="27"/>
      <c r="D642" s="27"/>
      <c r="E642" s="27"/>
      <c r="F642" s="114"/>
      <c r="G642" s="2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ht="15.75" customHeight="1">
      <c r="A643" s="1"/>
      <c r="B643" s="27"/>
      <c r="C643" s="27"/>
      <c r="D643" s="27"/>
      <c r="E643" s="27"/>
      <c r="F643" s="114"/>
      <c r="G643" s="2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ht="15.75" customHeight="1">
      <c r="A644" s="1"/>
      <c r="B644" s="27"/>
      <c r="C644" s="27"/>
      <c r="D644" s="27"/>
      <c r="E644" s="27"/>
      <c r="F644" s="114"/>
      <c r="G644" s="2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ht="15.75" customHeight="1">
      <c r="A645" s="1"/>
      <c r="B645" s="27"/>
      <c r="C645" s="27"/>
      <c r="D645" s="27"/>
      <c r="E645" s="27"/>
      <c r="F645" s="114"/>
      <c r="G645" s="2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ht="15.75" customHeight="1">
      <c r="A646" s="1"/>
      <c r="B646" s="27"/>
      <c r="C646" s="27"/>
      <c r="D646" s="27"/>
      <c r="E646" s="27"/>
      <c r="F646" s="114"/>
      <c r="G646" s="2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ht="15.75" customHeight="1">
      <c r="A647" s="1"/>
      <c r="B647" s="27"/>
      <c r="C647" s="27"/>
      <c r="D647" s="27"/>
      <c r="E647" s="27"/>
      <c r="F647" s="114"/>
      <c r="G647" s="2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ht="15.75" customHeight="1">
      <c r="A648" s="1"/>
      <c r="B648" s="27"/>
      <c r="C648" s="27"/>
      <c r="D648" s="27"/>
      <c r="E648" s="27"/>
      <c r="F648" s="114"/>
      <c r="G648" s="2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ht="15.75" customHeight="1">
      <c r="A649" s="1"/>
      <c r="B649" s="27"/>
      <c r="C649" s="27"/>
      <c r="D649" s="27"/>
      <c r="E649" s="27"/>
      <c r="F649" s="114"/>
      <c r="G649" s="2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ht="15.75" customHeight="1">
      <c r="A650" s="1"/>
      <c r="B650" s="27"/>
      <c r="C650" s="27"/>
      <c r="D650" s="27"/>
      <c r="E650" s="27"/>
      <c r="F650" s="114"/>
      <c r="G650" s="2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ht="15.75" customHeight="1">
      <c r="A651" s="1"/>
      <c r="B651" s="27"/>
      <c r="C651" s="27"/>
      <c r="D651" s="27"/>
      <c r="E651" s="27"/>
      <c r="F651" s="114"/>
      <c r="G651" s="2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ht="15.75" customHeight="1">
      <c r="A652" s="1"/>
      <c r="B652" s="27"/>
      <c r="C652" s="27"/>
      <c r="D652" s="27"/>
      <c r="E652" s="27"/>
      <c r="F652" s="114"/>
      <c r="G652" s="2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ht="15.75" customHeight="1">
      <c r="A653" s="1"/>
      <c r="B653" s="27"/>
      <c r="C653" s="27"/>
      <c r="D653" s="27"/>
      <c r="E653" s="27"/>
      <c r="F653" s="114"/>
      <c r="G653" s="2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ht="15.75" customHeight="1">
      <c r="A654" s="1"/>
      <c r="B654" s="27"/>
      <c r="C654" s="27"/>
      <c r="D654" s="27"/>
      <c r="E654" s="27"/>
      <c r="F654" s="114"/>
      <c r="G654" s="2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ht="15.75" customHeight="1">
      <c r="A655" s="1"/>
      <c r="B655" s="27"/>
      <c r="C655" s="27"/>
      <c r="D655" s="27"/>
      <c r="E655" s="27"/>
      <c r="F655" s="114"/>
      <c r="G655" s="2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ht="15.75" customHeight="1">
      <c r="A656" s="1"/>
      <c r="B656" s="27"/>
      <c r="C656" s="27"/>
      <c r="D656" s="27"/>
      <c r="E656" s="27"/>
      <c r="F656" s="114"/>
      <c r="G656" s="2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ht="15.75" customHeight="1">
      <c r="A657" s="1"/>
      <c r="B657" s="27"/>
      <c r="C657" s="27"/>
      <c r="D657" s="27"/>
      <c r="E657" s="27"/>
      <c r="F657" s="114"/>
      <c r="G657" s="2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ht="15.75" customHeight="1">
      <c r="A658" s="1"/>
      <c r="B658" s="27"/>
      <c r="C658" s="27"/>
      <c r="D658" s="27"/>
      <c r="E658" s="27"/>
      <c r="F658" s="114"/>
      <c r="G658" s="2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ht="15.75" customHeight="1">
      <c r="A659" s="1"/>
      <c r="B659" s="27"/>
      <c r="C659" s="27"/>
      <c r="D659" s="27"/>
      <c r="E659" s="27"/>
      <c r="F659" s="114"/>
      <c r="G659" s="2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ht="15.75" customHeight="1">
      <c r="A660" s="1"/>
      <c r="B660" s="27"/>
      <c r="C660" s="27"/>
      <c r="D660" s="27"/>
      <c r="E660" s="27"/>
      <c r="F660" s="114"/>
      <c r="G660" s="2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ht="15.75" customHeight="1">
      <c r="A661" s="1"/>
      <c r="B661" s="27"/>
      <c r="C661" s="27"/>
      <c r="D661" s="27"/>
      <c r="E661" s="27"/>
      <c r="F661" s="114"/>
      <c r="G661" s="2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ht="15.75" customHeight="1">
      <c r="A662" s="1"/>
      <c r="B662" s="27"/>
      <c r="C662" s="27"/>
      <c r="D662" s="27"/>
      <c r="E662" s="27"/>
      <c r="F662" s="114"/>
      <c r="G662" s="2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ht="15.75" customHeight="1">
      <c r="A663" s="1"/>
      <c r="B663" s="27"/>
      <c r="C663" s="27"/>
      <c r="D663" s="27"/>
      <c r="E663" s="27"/>
      <c r="F663" s="114"/>
      <c r="G663" s="2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ht="15.75" customHeight="1">
      <c r="A664" s="1"/>
      <c r="B664" s="27"/>
      <c r="C664" s="27"/>
      <c r="D664" s="27"/>
      <c r="E664" s="27"/>
      <c r="F664" s="114"/>
      <c r="G664" s="2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ht="15.75" customHeight="1">
      <c r="A665" s="1"/>
      <c r="B665" s="27"/>
      <c r="C665" s="27"/>
      <c r="D665" s="27"/>
      <c r="E665" s="27"/>
      <c r="F665" s="114"/>
      <c r="G665" s="2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ht="15.75" customHeight="1">
      <c r="A666" s="1"/>
      <c r="B666" s="27"/>
      <c r="C666" s="27"/>
      <c r="D666" s="27"/>
      <c r="E666" s="27"/>
      <c r="F666" s="114"/>
      <c r="G666" s="2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ht="15.75" customHeight="1">
      <c r="A667" s="1"/>
      <c r="B667" s="27"/>
      <c r="C667" s="27"/>
      <c r="D667" s="27"/>
      <c r="E667" s="27"/>
      <c r="F667" s="114"/>
      <c r="G667" s="2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ht="15.75" customHeight="1">
      <c r="A668" s="1"/>
      <c r="B668" s="27"/>
      <c r="C668" s="27"/>
      <c r="D668" s="27"/>
      <c r="E668" s="27"/>
      <c r="F668" s="114"/>
      <c r="G668" s="2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ht="15.75" customHeight="1">
      <c r="A669" s="1"/>
      <c r="B669" s="27"/>
      <c r="C669" s="27"/>
      <c r="D669" s="27"/>
      <c r="E669" s="27"/>
      <c r="F669" s="114"/>
      <c r="G669" s="2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ht="15.75" customHeight="1">
      <c r="A670" s="1"/>
      <c r="B670" s="27"/>
      <c r="C670" s="27"/>
      <c r="D670" s="27"/>
      <c r="E670" s="27"/>
      <c r="F670" s="114"/>
      <c r="G670" s="2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ht="15.75" customHeight="1">
      <c r="A671" s="1"/>
      <c r="B671" s="27"/>
      <c r="C671" s="27"/>
      <c r="D671" s="27"/>
      <c r="E671" s="27"/>
      <c r="F671" s="114"/>
      <c r="G671" s="2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ht="15.75" customHeight="1">
      <c r="A672" s="1"/>
      <c r="B672" s="27"/>
      <c r="C672" s="27"/>
      <c r="D672" s="27"/>
      <c r="E672" s="27"/>
      <c r="F672" s="114"/>
      <c r="G672" s="2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ht="15.75" customHeight="1">
      <c r="A673" s="1"/>
      <c r="B673" s="27"/>
      <c r="C673" s="27"/>
      <c r="D673" s="27"/>
      <c r="E673" s="27"/>
      <c r="F673" s="114"/>
      <c r="G673" s="2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ht="15.75" customHeight="1">
      <c r="A674" s="1"/>
      <c r="B674" s="27"/>
      <c r="C674" s="27"/>
      <c r="D674" s="27"/>
      <c r="E674" s="27"/>
      <c r="F674" s="114"/>
      <c r="G674" s="2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ht="15.75" customHeight="1">
      <c r="A675" s="1"/>
      <c r="B675" s="27"/>
      <c r="C675" s="27"/>
      <c r="D675" s="27"/>
      <c r="E675" s="27"/>
      <c r="F675" s="114"/>
      <c r="G675" s="2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ht="15.75" customHeight="1">
      <c r="A676" s="1"/>
      <c r="B676" s="27"/>
      <c r="C676" s="27"/>
      <c r="D676" s="27"/>
      <c r="E676" s="27"/>
      <c r="F676" s="114"/>
      <c r="G676" s="2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ht="15.75" customHeight="1">
      <c r="A677" s="1"/>
      <c r="B677" s="27"/>
      <c r="C677" s="27"/>
      <c r="D677" s="27"/>
      <c r="E677" s="27"/>
      <c r="F677" s="114"/>
      <c r="G677" s="2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ht="15.75" customHeight="1">
      <c r="A678" s="1"/>
      <c r="B678" s="27"/>
      <c r="C678" s="27"/>
      <c r="D678" s="27"/>
      <c r="E678" s="27"/>
      <c r="F678" s="114"/>
      <c r="G678" s="2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ht="15.75" customHeight="1">
      <c r="A679" s="1"/>
      <c r="B679" s="27"/>
      <c r="C679" s="27"/>
      <c r="D679" s="27"/>
      <c r="E679" s="27"/>
      <c r="F679" s="114"/>
      <c r="G679" s="2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ht="15.75" customHeight="1">
      <c r="A680" s="1"/>
      <c r="B680" s="27"/>
      <c r="C680" s="27"/>
      <c r="D680" s="27"/>
      <c r="E680" s="27"/>
      <c r="F680" s="114"/>
      <c r="G680" s="2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ht="15.75" customHeight="1">
      <c r="A681" s="1"/>
      <c r="B681" s="27"/>
      <c r="C681" s="27"/>
      <c r="D681" s="27"/>
      <c r="E681" s="27"/>
      <c r="F681" s="114"/>
      <c r="G681" s="2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ht="15.75" customHeight="1">
      <c r="A682" s="1"/>
      <c r="B682" s="27"/>
      <c r="C682" s="27"/>
      <c r="D682" s="27"/>
      <c r="E682" s="27"/>
      <c r="F682" s="114"/>
      <c r="G682" s="2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ht="15.75" customHeight="1">
      <c r="A683" s="1"/>
      <c r="B683" s="27"/>
      <c r="C683" s="27"/>
      <c r="D683" s="27"/>
      <c r="E683" s="27"/>
      <c r="F683" s="114"/>
      <c r="G683" s="2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ht="15.75" customHeight="1">
      <c r="A684" s="1"/>
      <c r="B684" s="27"/>
      <c r="C684" s="27"/>
      <c r="D684" s="27"/>
      <c r="E684" s="27"/>
      <c r="F684" s="114"/>
      <c r="G684" s="2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ht="15.75" customHeight="1">
      <c r="A685" s="1"/>
      <c r="B685" s="27"/>
      <c r="C685" s="27"/>
      <c r="D685" s="27"/>
      <c r="E685" s="27"/>
      <c r="F685" s="114"/>
      <c r="G685" s="2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ht="15.75" customHeight="1">
      <c r="A686" s="1"/>
      <c r="B686" s="27"/>
      <c r="C686" s="27"/>
      <c r="D686" s="27"/>
      <c r="E686" s="27"/>
      <c r="F686" s="114"/>
      <c r="G686" s="2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ht="15.75" customHeight="1">
      <c r="A687" s="1"/>
      <c r="B687" s="27"/>
      <c r="C687" s="27"/>
      <c r="D687" s="27"/>
      <c r="E687" s="27"/>
      <c r="F687" s="114"/>
      <c r="G687" s="2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ht="15.75" customHeight="1">
      <c r="A688" s="1"/>
      <c r="B688" s="27"/>
      <c r="C688" s="27"/>
      <c r="D688" s="27"/>
      <c r="E688" s="27"/>
      <c r="F688" s="114"/>
      <c r="G688" s="2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ht="15.75" customHeight="1">
      <c r="A689" s="1"/>
      <c r="B689" s="27"/>
      <c r="C689" s="27"/>
      <c r="D689" s="27"/>
      <c r="E689" s="27"/>
      <c r="F689" s="114"/>
      <c r="G689" s="2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ht="15.75" customHeight="1">
      <c r="A690" s="1"/>
      <c r="B690" s="27"/>
      <c r="C690" s="27"/>
      <c r="D690" s="27"/>
      <c r="E690" s="27"/>
      <c r="F690" s="114"/>
      <c r="G690" s="2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ht="15.75" customHeight="1">
      <c r="A691" s="1"/>
      <c r="B691" s="27"/>
      <c r="C691" s="27"/>
      <c r="D691" s="27"/>
      <c r="E691" s="27"/>
      <c r="F691" s="114"/>
      <c r="G691" s="2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ht="15.75" customHeight="1">
      <c r="A692" s="1"/>
      <c r="B692" s="27"/>
      <c r="C692" s="27"/>
      <c r="D692" s="27"/>
      <c r="E692" s="27"/>
      <c r="F692" s="114"/>
      <c r="G692" s="2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ht="15.75" customHeight="1">
      <c r="A693" s="1"/>
      <c r="B693" s="27"/>
      <c r="C693" s="27"/>
      <c r="D693" s="27"/>
      <c r="E693" s="27"/>
      <c r="F693" s="114"/>
      <c r="G693" s="2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ht="15.75" customHeight="1">
      <c r="A694" s="1"/>
      <c r="B694" s="27"/>
      <c r="C694" s="27"/>
      <c r="D694" s="27"/>
      <c r="E694" s="27"/>
      <c r="F694" s="114"/>
      <c r="G694" s="2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ht="15.75" customHeight="1">
      <c r="A695" s="1"/>
      <c r="B695" s="27"/>
      <c r="C695" s="27"/>
      <c r="D695" s="27"/>
      <c r="E695" s="27"/>
      <c r="F695" s="114"/>
      <c r="G695" s="2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ht="15.75" customHeight="1">
      <c r="A696" s="1"/>
      <c r="B696" s="27"/>
      <c r="C696" s="27"/>
      <c r="D696" s="27"/>
      <c r="E696" s="27"/>
      <c r="F696" s="114"/>
      <c r="G696" s="2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ht="15.75" customHeight="1">
      <c r="A697" s="1"/>
      <c r="B697" s="27"/>
      <c r="C697" s="27"/>
      <c r="D697" s="27"/>
      <c r="E697" s="27"/>
      <c r="F697" s="114"/>
      <c r="G697" s="2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ht="15.75" customHeight="1">
      <c r="A698" s="1"/>
      <c r="B698" s="27"/>
      <c r="C698" s="27"/>
      <c r="D698" s="27"/>
      <c r="E698" s="27"/>
      <c r="F698" s="114"/>
      <c r="G698" s="2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ht="15.75" customHeight="1">
      <c r="A699" s="1"/>
      <c r="B699" s="27"/>
      <c r="C699" s="27"/>
      <c r="D699" s="27"/>
      <c r="E699" s="27"/>
      <c r="F699" s="114"/>
      <c r="G699" s="2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ht="15.75" customHeight="1">
      <c r="A700" s="1"/>
      <c r="B700" s="27"/>
      <c r="C700" s="27"/>
      <c r="D700" s="27"/>
      <c r="E700" s="27"/>
      <c r="F700" s="114"/>
      <c r="G700" s="2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ht="15.75" customHeight="1">
      <c r="A701" s="1"/>
      <c r="B701" s="27"/>
      <c r="C701" s="27"/>
      <c r="D701" s="27"/>
      <c r="E701" s="27"/>
      <c r="F701" s="114"/>
      <c r="G701" s="2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ht="15.75" customHeight="1">
      <c r="A702" s="1"/>
      <c r="B702" s="27"/>
      <c r="C702" s="27"/>
      <c r="D702" s="27"/>
      <c r="E702" s="27"/>
      <c r="F702" s="114"/>
      <c r="G702" s="2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ht="15.75" customHeight="1">
      <c r="A703" s="1"/>
      <c r="B703" s="27"/>
      <c r="C703" s="27"/>
      <c r="D703" s="27"/>
      <c r="E703" s="27"/>
      <c r="F703" s="114"/>
      <c r="G703" s="2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ht="15.75" customHeight="1">
      <c r="A704" s="1"/>
      <c r="B704" s="27"/>
      <c r="C704" s="27"/>
      <c r="D704" s="27"/>
      <c r="E704" s="27"/>
      <c r="F704" s="114"/>
      <c r="G704" s="2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ht="15.75" customHeight="1">
      <c r="A705" s="1"/>
      <c r="B705" s="27"/>
      <c r="C705" s="27"/>
      <c r="D705" s="27"/>
      <c r="E705" s="27"/>
      <c r="F705" s="114"/>
      <c r="G705" s="2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ht="15.75" customHeight="1">
      <c r="A706" s="1"/>
      <c r="B706" s="27"/>
      <c r="C706" s="27"/>
      <c r="D706" s="27"/>
      <c r="E706" s="27"/>
      <c r="F706" s="114"/>
      <c r="G706" s="2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ht="15.75" customHeight="1">
      <c r="A707" s="1"/>
      <c r="B707" s="27"/>
      <c r="C707" s="27"/>
      <c r="D707" s="27"/>
      <c r="E707" s="27"/>
      <c r="F707" s="114"/>
      <c r="G707" s="2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ht="15.75" customHeight="1">
      <c r="A708" s="1"/>
      <c r="B708" s="27"/>
      <c r="C708" s="27"/>
      <c r="D708" s="27"/>
      <c r="E708" s="27"/>
      <c r="F708" s="114"/>
      <c r="G708" s="2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ht="15.75" customHeight="1">
      <c r="A709" s="1"/>
      <c r="B709" s="27"/>
      <c r="C709" s="27"/>
      <c r="D709" s="27"/>
      <c r="E709" s="27"/>
      <c r="F709" s="114"/>
      <c r="G709" s="2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ht="15.75" customHeight="1">
      <c r="A710" s="1"/>
      <c r="B710" s="27"/>
      <c r="C710" s="27"/>
      <c r="D710" s="27"/>
      <c r="E710" s="27"/>
      <c r="F710" s="114"/>
      <c r="G710" s="2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ht="15.75" customHeight="1">
      <c r="A711" s="1"/>
      <c r="B711" s="27"/>
      <c r="C711" s="27"/>
      <c r="D711" s="27"/>
      <c r="E711" s="27"/>
      <c r="F711" s="114"/>
      <c r="G711" s="2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ht="15.75" customHeight="1">
      <c r="A712" s="1"/>
      <c r="B712" s="27"/>
      <c r="C712" s="27"/>
      <c r="D712" s="27"/>
      <c r="E712" s="27"/>
      <c r="F712" s="114"/>
      <c r="G712" s="2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ht="15.75" customHeight="1">
      <c r="A713" s="1"/>
      <c r="B713" s="27"/>
      <c r="C713" s="27"/>
      <c r="D713" s="27"/>
      <c r="E713" s="27"/>
      <c r="F713" s="114"/>
      <c r="G713" s="2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ht="15.75" customHeight="1">
      <c r="A714" s="1"/>
      <c r="B714" s="27"/>
      <c r="C714" s="27"/>
      <c r="D714" s="27"/>
      <c r="E714" s="27"/>
      <c r="F714" s="114"/>
      <c r="G714" s="2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ht="15.75" customHeight="1">
      <c r="A715" s="1"/>
      <c r="B715" s="27"/>
      <c r="C715" s="27"/>
      <c r="D715" s="27"/>
      <c r="E715" s="27"/>
      <c r="F715" s="114"/>
      <c r="G715" s="2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ht="15.75" customHeight="1">
      <c r="A716" s="1"/>
      <c r="B716" s="27"/>
      <c r="C716" s="27"/>
      <c r="D716" s="27"/>
      <c r="E716" s="27"/>
      <c r="F716" s="114"/>
      <c r="G716" s="2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ht="15.75" customHeight="1">
      <c r="A717" s="1"/>
      <c r="B717" s="27"/>
      <c r="C717" s="27"/>
      <c r="D717" s="27"/>
      <c r="E717" s="27"/>
      <c r="F717" s="114"/>
      <c r="G717" s="2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ht="15.75" customHeight="1">
      <c r="A718" s="1"/>
      <c r="B718" s="27"/>
      <c r="C718" s="27"/>
      <c r="D718" s="27"/>
      <c r="E718" s="27"/>
      <c r="F718" s="114"/>
      <c r="G718" s="2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ht="15.75" customHeight="1">
      <c r="A719" s="1"/>
      <c r="B719" s="27"/>
      <c r="C719" s="27"/>
      <c r="D719" s="27"/>
      <c r="E719" s="27"/>
      <c r="F719" s="114"/>
      <c r="G719" s="2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ht="15.75" customHeight="1">
      <c r="A720" s="1"/>
      <c r="B720" s="27"/>
      <c r="C720" s="27"/>
      <c r="D720" s="27"/>
      <c r="E720" s="27"/>
      <c r="F720" s="114"/>
      <c r="G720" s="2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ht="15.75" customHeight="1">
      <c r="A721" s="1"/>
      <c r="B721" s="27"/>
      <c r="C721" s="27"/>
      <c r="D721" s="27"/>
      <c r="E721" s="27"/>
      <c r="F721" s="114"/>
      <c r="G721" s="2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ht="15.75" customHeight="1">
      <c r="A722" s="1"/>
      <c r="B722" s="27"/>
      <c r="C722" s="27"/>
      <c r="D722" s="27"/>
      <c r="E722" s="27"/>
      <c r="F722" s="114"/>
      <c r="G722" s="2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ht="15.75" customHeight="1">
      <c r="A723" s="1"/>
      <c r="B723" s="27"/>
      <c r="C723" s="27"/>
      <c r="D723" s="27"/>
      <c r="E723" s="27"/>
      <c r="F723" s="114"/>
      <c r="G723" s="2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ht="15.75" customHeight="1">
      <c r="A724" s="1"/>
      <c r="B724" s="27"/>
      <c r="C724" s="27"/>
      <c r="D724" s="27"/>
      <c r="E724" s="27"/>
      <c r="F724" s="114"/>
      <c r="G724" s="2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ht="15.75" customHeight="1">
      <c r="A725" s="1"/>
      <c r="B725" s="27"/>
      <c r="C725" s="27"/>
      <c r="D725" s="27"/>
      <c r="E725" s="27"/>
      <c r="F725" s="114"/>
      <c r="G725" s="2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ht="15.75" customHeight="1">
      <c r="A726" s="1"/>
      <c r="B726" s="27"/>
      <c r="C726" s="27"/>
      <c r="D726" s="27"/>
      <c r="E726" s="27"/>
      <c r="F726" s="114"/>
      <c r="G726" s="2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ht="15.75" customHeight="1">
      <c r="A727" s="1"/>
      <c r="B727" s="27"/>
      <c r="C727" s="27"/>
      <c r="D727" s="27"/>
      <c r="E727" s="27"/>
      <c r="F727" s="114"/>
      <c r="G727" s="2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ht="15.75" customHeight="1">
      <c r="A728" s="1"/>
      <c r="B728" s="27"/>
      <c r="C728" s="27"/>
      <c r="D728" s="27"/>
      <c r="E728" s="27"/>
      <c r="F728" s="114"/>
      <c r="G728" s="2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ht="15.75" customHeight="1">
      <c r="A729" s="1"/>
      <c r="B729" s="27"/>
      <c r="C729" s="27"/>
      <c r="D729" s="27"/>
      <c r="E729" s="27"/>
      <c r="F729" s="114"/>
      <c r="G729" s="2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ht="15.75" customHeight="1">
      <c r="A730" s="1"/>
      <c r="B730" s="27"/>
      <c r="C730" s="27"/>
      <c r="D730" s="27"/>
      <c r="E730" s="27"/>
      <c r="F730" s="114"/>
      <c r="G730" s="2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ht="15.75" customHeight="1">
      <c r="A731" s="1"/>
      <c r="B731" s="27"/>
      <c r="C731" s="27"/>
      <c r="D731" s="27"/>
      <c r="E731" s="27"/>
      <c r="F731" s="114"/>
      <c r="G731" s="2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ht="15.75" customHeight="1">
      <c r="A732" s="1"/>
      <c r="B732" s="27"/>
      <c r="C732" s="27"/>
      <c r="D732" s="27"/>
      <c r="E732" s="27"/>
      <c r="F732" s="114"/>
      <c r="G732" s="2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ht="15.75" customHeight="1">
      <c r="A733" s="1"/>
      <c r="B733" s="27"/>
      <c r="C733" s="27"/>
      <c r="D733" s="27"/>
      <c r="E733" s="27"/>
      <c r="F733" s="114"/>
      <c r="G733" s="2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ht="15.75" customHeight="1">
      <c r="A734" s="1"/>
      <c r="B734" s="27"/>
      <c r="C734" s="27"/>
      <c r="D734" s="27"/>
      <c r="E734" s="27"/>
      <c r="F734" s="114"/>
      <c r="G734" s="2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ht="15.75" customHeight="1">
      <c r="A735" s="1"/>
      <c r="B735" s="27"/>
      <c r="C735" s="27"/>
      <c r="D735" s="27"/>
      <c r="E735" s="27"/>
      <c r="F735" s="114"/>
      <c r="G735" s="2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ht="15.75" customHeight="1">
      <c r="A736" s="1"/>
      <c r="B736" s="27"/>
      <c r="C736" s="27"/>
      <c r="D736" s="27"/>
      <c r="E736" s="27"/>
      <c r="F736" s="114"/>
      <c r="G736" s="2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ht="15.75" customHeight="1">
      <c r="A737" s="1"/>
      <c r="B737" s="27"/>
      <c r="C737" s="27"/>
      <c r="D737" s="27"/>
      <c r="E737" s="27"/>
      <c r="F737" s="114"/>
      <c r="G737" s="2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ht="15.75" customHeight="1">
      <c r="A738" s="1"/>
      <c r="B738" s="27"/>
      <c r="C738" s="27"/>
      <c r="D738" s="27"/>
      <c r="E738" s="27"/>
      <c r="F738" s="114"/>
      <c r="G738" s="2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ht="15.75" customHeight="1">
      <c r="A739" s="1"/>
      <c r="B739" s="27"/>
      <c r="C739" s="27"/>
      <c r="D739" s="27"/>
      <c r="E739" s="27"/>
      <c r="F739" s="114"/>
      <c r="G739" s="2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ht="15.75" customHeight="1">
      <c r="A740" s="1"/>
      <c r="B740" s="27"/>
      <c r="C740" s="27"/>
      <c r="D740" s="27"/>
      <c r="E740" s="27"/>
      <c r="F740" s="114"/>
      <c r="G740" s="2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ht="15.75" customHeight="1">
      <c r="A741" s="1"/>
      <c r="B741" s="27"/>
      <c r="C741" s="27"/>
      <c r="D741" s="27"/>
      <c r="E741" s="27"/>
      <c r="F741" s="114"/>
      <c r="G741" s="2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ht="15.75" customHeight="1">
      <c r="A742" s="1"/>
      <c r="B742" s="27"/>
      <c r="C742" s="27"/>
      <c r="D742" s="27"/>
      <c r="E742" s="27"/>
      <c r="F742" s="114"/>
      <c r="G742" s="2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ht="15.75" customHeight="1">
      <c r="A743" s="1"/>
      <c r="B743" s="27"/>
      <c r="C743" s="27"/>
      <c r="D743" s="27"/>
      <c r="E743" s="27"/>
      <c r="F743" s="114"/>
      <c r="G743" s="2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ht="15.75" customHeight="1">
      <c r="A744" s="1"/>
      <c r="B744" s="27"/>
      <c r="C744" s="27"/>
      <c r="D744" s="27"/>
      <c r="E744" s="27"/>
      <c r="F744" s="114"/>
      <c r="G744" s="2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ht="15.75" customHeight="1">
      <c r="A745" s="1"/>
      <c r="B745" s="27"/>
      <c r="C745" s="27"/>
      <c r="D745" s="27"/>
      <c r="E745" s="27"/>
      <c r="F745" s="114"/>
      <c r="G745" s="2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ht="15.75" customHeight="1">
      <c r="A746" s="1"/>
      <c r="B746" s="27"/>
      <c r="C746" s="27"/>
      <c r="D746" s="27"/>
      <c r="E746" s="27"/>
      <c r="F746" s="114"/>
      <c r="G746" s="2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ht="15.75" customHeight="1">
      <c r="A747" s="1"/>
      <c r="B747" s="27"/>
      <c r="C747" s="27"/>
      <c r="D747" s="27"/>
      <c r="E747" s="27"/>
      <c r="F747" s="114"/>
      <c r="G747" s="2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ht="15.75" customHeight="1">
      <c r="A748" s="1"/>
      <c r="B748" s="27"/>
      <c r="C748" s="27"/>
      <c r="D748" s="27"/>
      <c r="E748" s="27"/>
      <c r="F748" s="114"/>
      <c r="G748" s="2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ht="15.75" customHeight="1">
      <c r="A749" s="1"/>
      <c r="B749" s="27"/>
      <c r="C749" s="27"/>
      <c r="D749" s="27"/>
      <c r="E749" s="27"/>
      <c r="F749" s="114"/>
      <c r="G749" s="2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ht="15.75" customHeight="1">
      <c r="A750" s="1"/>
      <c r="B750" s="27"/>
      <c r="C750" s="27"/>
      <c r="D750" s="27"/>
      <c r="E750" s="27"/>
      <c r="F750" s="114"/>
      <c r="G750" s="2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ht="15.75" customHeight="1">
      <c r="A751" s="1"/>
      <c r="B751" s="27"/>
      <c r="C751" s="27"/>
      <c r="D751" s="27"/>
      <c r="E751" s="27"/>
      <c r="F751" s="114"/>
      <c r="G751" s="2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ht="15.75" customHeight="1">
      <c r="A752" s="1"/>
      <c r="B752" s="27"/>
      <c r="C752" s="27"/>
      <c r="D752" s="27"/>
      <c r="E752" s="27"/>
      <c r="F752" s="114"/>
      <c r="G752" s="2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ht="15.75" customHeight="1">
      <c r="A753" s="1"/>
      <c r="B753" s="27"/>
      <c r="C753" s="27"/>
      <c r="D753" s="27"/>
      <c r="E753" s="27"/>
      <c r="F753" s="114"/>
      <c r="G753" s="2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ht="15.75" customHeight="1">
      <c r="A754" s="1"/>
      <c r="B754" s="27"/>
      <c r="C754" s="27"/>
      <c r="D754" s="27"/>
      <c r="E754" s="27"/>
      <c r="F754" s="114"/>
      <c r="G754" s="2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ht="15.75" customHeight="1">
      <c r="A755" s="1"/>
      <c r="B755" s="27"/>
      <c r="C755" s="27"/>
      <c r="D755" s="27"/>
      <c r="E755" s="27"/>
      <c r="F755" s="114"/>
      <c r="G755" s="2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ht="15.75" customHeight="1">
      <c r="A756" s="1"/>
      <c r="B756" s="27"/>
      <c r="C756" s="27"/>
      <c r="D756" s="27"/>
      <c r="E756" s="27"/>
      <c r="F756" s="114"/>
      <c r="G756" s="2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ht="15.75" customHeight="1">
      <c r="A757" s="1"/>
      <c r="B757" s="27"/>
      <c r="C757" s="27"/>
      <c r="D757" s="27"/>
      <c r="E757" s="27"/>
      <c r="F757" s="114"/>
      <c r="G757" s="2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ht="15.75" customHeight="1">
      <c r="A758" s="1"/>
      <c r="B758" s="27"/>
      <c r="C758" s="27"/>
      <c r="D758" s="27"/>
      <c r="E758" s="27"/>
      <c r="F758" s="114"/>
      <c r="G758" s="2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ht="15.75" customHeight="1">
      <c r="A759" s="1"/>
      <c r="B759" s="27"/>
      <c r="C759" s="27"/>
      <c r="D759" s="27"/>
      <c r="E759" s="27"/>
      <c r="F759" s="114"/>
      <c r="G759" s="2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ht="15.75" customHeight="1">
      <c r="A760" s="1"/>
      <c r="B760" s="27"/>
      <c r="C760" s="27"/>
      <c r="D760" s="27"/>
      <c r="E760" s="27"/>
      <c r="F760" s="114"/>
      <c r="G760" s="2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ht="15.75" customHeight="1">
      <c r="A761" s="1"/>
      <c r="B761" s="27"/>
      <c r="C761" s="27"/>
      <c r="D761" s="27"/>
      <c r="E761" s="27"/>
      <c r="F761" s="114"/>
      <c r="G761" s="2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ht="15.75" customHeight="1">
      <c r="A762" s="1"/>
      <c r="B762" s="27"/>
      <c r="C762" s="27"/>
      <c r="D762" s="27"/>
      <c r="E762" s="27"/>
      <c r="F762" s="114"/>
      <c r="G762" s="2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ht="15.75" customHeight="1">
      <c r="A763" s="1"/>
      <c r="B763" s="27"/>
      <c r="C763" s="27"/>
      <c r="D763" s="27"/>
      <c r="E763" s="27"/>
      <c r="F763" s="114"/>
      <c r="G763" s="2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ht="15.75" customHeight="1">
      <c r="A764" s="1"/>
      <c r="B764" s="27"/>
      <c r="C764" s="27"/>
      <c r="D764" s="27"/>
      <c r="E764" s="27"/>
      <c r="F764" s="114"/>
      <c r="G764" s="2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ht="15.75" customHeight="1">
      <c r="A765" s="1"/>
      <c r="B765" s="27"/>
      <c r="C765" s="27"/>
      <c r="D765" s="27"/>
      <c r="E765" s="27"/>
      <c r="F765" s="114"/>
      <c r="G765" s="2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ht="15.75" customHeight="1">
      <c r="A766" s="1"/>
      <c r="B766" s="27"/>
      <c r="C766" s="27"/>
      <c r="D766" s="27"/>
      <c r="E766" s="27"/>
      <c r="F766" s="114"/>
      <c r="G766" s="2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ht="15.75" customHeight="1">
      <c r="A767" s="1"/>
      <c r="B767" s="27"/>
      <c r="C767" s="27"/>
      <c r="D767" s="27"/>
      <c r="E767" s="27"/>
      <c r="F767" s="114"/>
      <c r="G767" s="2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ht="15.75" customHeight="1">
      <c r="A768" s="1"/>
      <c r="B768" s="27"/>
      <c r="C768" s="27"/>
      <c r="D768" s="27"/>
      <c r="E768" s="27"/>
      <c r="F768" s="114"/>
      <c r="G768" s="2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ht="15.75" customHeight="1">
      <c r="A769" s="1"/>
      <c r="B769" s="27"/>
      <c r="C769" s="27"/>
      <c r="D769" s="27"/>
      <c r="E769" s="27"/>
      <c r="F769" s="114"/>
      <c r="G769" s="2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ht="15.75" customHeight="1">
      <c r="A770" s="1"/>
      <c r="B770" s="27"/>
      <c r="C770" s="27"/>
      <c r="D770" s="27"/>
      <c r="E770" s="27"/>
      <c r="F770" s="114"/>
      <c r="G770" s="2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ht="15.75" customHeight="1">
      <c r="A771" s="1"/>
      <c r="B771" s="27"/>
      <c r="C771" s="27"/>
      <c r="D771" s="27"/>
      <c r="E771" s="27"/>
      <c r="F771" s="114"/>
      <c r="G771" s="2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ht="15.75" customHeight="1">
      <c r="A772" s="1"/>
      <c r="B772" s="27"/>
      <c r="C772" s="27"/>
      <c r="D772" s="27"/>
      <c r="E772" s="27"/>
      <c r="F772" s="114"/>
      <c r="G772" s="2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ht="15.75" customHeight="1">
      <c r="A773" s="1"/>
      <c r="B773" s="27"/>
      <c r="C773" s="27"/>
      <c r="D773" s="27"/>
      <c r="E773" s="27"/>
      <c r="F773" s="114"/>
      <c r="G773" s="2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ht="15.75" customHeight="1">
      <c r="A774" s="1"/>
      <c r="B774" s="27"/>
      <c r="C774" s="27"/>
      <c r="D774" s="27"/>
      <c r="E774" s="27"/>
      <c r="F774" s="114"/>
      <c r="G774" s="2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ht="15.75" customHeight="1">
      <c r="A775" s="1"/>
      <c r="B775" s="27"/>
      <c r="C775" s="27"/>
      <c r="D775" s="27"/>
      <c r="E775" s="27"/>
      <c r="F775" s="114"/>
      <c r="G775" s="2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ht="15.75" customHeight="1">
      <c r="A776" s="1"/>
      <c r="B776" s="27"/>
      <c r="C776" s="27"/>
      <c r="D776" s="27"/>
      <c r="E776" s="27"/>
      <c r="F776" s="114"/>
      <c r="G776" s="2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ht="15.75" customHeight="1">
      <c r="A777" s="1"/>
      <c r="B777" s="27"/>
      <c r="C777" s="27"/>
      <c r="D777" s="27"/>
      <c r="E777" s="27"/>
      <c r="F777" s="114"/>
      <c r="G777" s="2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ht="15.75" customHeight="1">
      <c r="A778" s="1"/>
      <c r="B778" s="27"/>
      <c r="C778" s="27"/>
      <c r="D778" s="27"/>
      <c r="E778" s="27"/>
      <c r="F778" s="114"/>
      <c r="G778" s="2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ht="15.75" customHeight="1">
      <c r="A779" s="1"/>
      <c r="B779" s="27"/>
      <c r="C779" s="27"/>
      <c r="D779" s="27"/>
      <c r="E779" s="27"/>
      <c r="F779" s="114"/>
      <c r="G779" s="2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ht="15.75" customHeight="1">
      <c r="A780" s="1"/>
      <c r="B780" s="27"/>
      <c r="C780" s="27"/>
      <c r="D780" s="27"/>
      <c r="E780" s="27"/>
      <c r="F780" s="114"/>
      <c r="G780" s="2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ht="15.75" customHeight="1">
      <c r="A781" s="1"/>
      <c r="B781" s="27"/>
      <c r="C781" s="27"/>
      <c r="D781" s="27"/>
      <c r="E781" s="27"/>
      <c r="F781" s="114"/>
      <c r="G781" s="2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ht="15.75" customHeight="1">
      <c r="A782" s="1"/>
      <c r="B782" s="27"/>
      <c r="C782" s="27"/>
      <c r="D782" s="27"/>
      <c r="E782" s="27"/>
      <c r="F782" s="114"/>
      <c r="G782" s="2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ht="15.75" customHeight="1">
      <c r="A783" s="1"/>
      <c r="B783" s="27"/>
      <c r="C783" s="27"/>
      <c r="D783" s="27"/>
      <c r="E783" s="27"/>
      <c r="F783" s="114"/>
      <c r="G783" s="2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ht="15.75" customHeight="1">
      <c r="A784" s="1"/>
      <c r="B784" s="27"/>
      <c r="C784" s="27"/>
      <c r="D784" s="27"/>
      <c r="E784" s="27"/>
      <c r="F784" s="114"/>
      <c r="G784" s="2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ht="15.75" customHeight="1">
      <c r="A785" s="1"/>
      <c r="B785" s="27"/>
      <c r="C785" s="27"/>
      <c r="D785" s="27"/>
      <c r="E785" s="27"/>
      <c r="F785" s="114"/>
      <c r="G785" s="2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ht="15.75" customHeight="1">
      <c r="A786" s="1"/>
      <c r="B786" s="27"/>
      <c r="C786" s="27"/>
      <c r="D786" s="27"/>
      <c r="E786" s="27"/>
      <c r="F786" s="114"/>
      <c r="G786" s="2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ht="15.75" customHeight="1">
      <c r="A787" s="1"/>
      <c r="B787" s="27"/>
      <c r="C787" s="27"/>
      <c r="D787" s="27"/>
      <c r="E787" s="27"/>
      <c r="F787" s="114"/>
      <c r="G787" s="2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ht="15.75" customHeight="1">
      <c r="A788" s="1"/>
      <c r="B788" s="27"/>
      <c r="C788" s="27"/>
      <c r="D788" s="27"/>
      <c r="E788" s="27"/>
      <c r="F788" s="114"/>
      <c r="G788" s="2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ht="15.75" customHeight="1">
      <c r="A789" s="1"/>
      <c r="B789" s="27"/>
      <c r="C789" s="27"/>
      <c r="D789" s="27"/>
      <c r="E789" s="27"/>
      <c r="F789" s="114"/>
      <c r="G789" s="2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ht="15.75" customHeight="1">
      <c r="A790" s="1"/>
      <c r="B790" s="27"/>
      <c r="C790" s="27"/>
      <c r="D790" s="27"/>
      <c r="E790" s="27"/>
      <c r="F790" s="114"/>
      <c r="G790" s="2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ht="15.75" customHeight="1">
      <c r="A791" s="1"/>
      <c r="B791" s="27"/>
      <c r="C791" s="27"/>
      <c r="D791" s="27"/>
      <c r="E791" s="27"/>
      <c r="F791" s="114"/>
      <c r="G791" s="2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ht="15.75" customHeight="1">
      <c r="A792" s="1"/>
      <c r="B792" s="27"/>
      <c r="C792" s="27"/>
      <c r="D792" s="27"/>
      <c r="E792" s="27"/>
      <c r="F792" s="114"/>
      <c r="G792" s="2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ht="15.75" customHeight="1">
      <c r="A793" s="1"/>
      <c r="B793" s="27"/>
      <c r="C793" s="27"/>
      <c r="D793" s="27"/>
      <c r="E793" s="27"/>
      <c r="F793" s="114"/>
      <c r="G793" s="2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ht="15.75" customHeight="1">
      <c r="A794" s="1"/>
      <c r="B794" s="27"/>
      <c r="C794" s="27"/>
      <c r="D794" s="27"/>
      <c r="E794" s="27"/>
      <c r="F794" s="114"/>
      <c r="G794" s="2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ht="15.75" customHeight="1">
      <c r="A795" s="1"/>
      <c r="B795" s="27"/>
      <c r="C795" s="27"/>
      <c r="D795" s="27"/>
      <c r="E795" s="27"/>
      <c r="F795" s="114"/>
      <c r="G795" s="2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ht="15.75" customHeight="1">
      <c r="A796" s="1"/>
      <c r="B796" s="27"/>
      <c r="C796" s="27"/>
      <c r="D796" s="27"/>
      <c r="E796" s="27"/>
      <c r="F796" s="114"/>
      <c r="G796" s="2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ht="15.75" customHeight="1">
      <c r="A797" s="1"/>
      <c r="B797" s="27"/>
      <c r="C797" s="27"/>
      <c r="D797" s="27"/>
      <c r="E797" s="27"/>
      <c r="F797" s="114"/>
      <c r="G797" s="2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ht="15.75" customHeight="1">
      <c r="A798" s="1"/>
      <c r="B798" s="27"/>
      <c r="C798" s="27"/>
      <c r="D798" s="27"/>
      <c r="E798" s="27"/>
      <c r="F798" s="114"/>
      <c r="G798" s="2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ht="15.75" customHeight="1">
      <c r="A799" s="1"/>
      <c r="B799" s="27"/>
      <c r="C799" s="27"/>
      <c r="D799" s="27"/>
      <c r="E799" s="27"/>
      <c r="F799" s="114"/>
      <c r="G799" s="2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ht="15.75" customHeight="1">
      <c r="A800" s="1"/>
      <c r="B800" s="27"/>
      <c r="C800" s="27"/>
      <c r="D800" s="27"/>
      <c r="E800" s="27"/>
      <c r="F800" s="114"/>
      <c r="G800" s="2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ht="15.75" customHeight="1">
      <c r="A801" s="1"/>
      <c r="B801" s="27"/>
      <c r="C801" s="27"/>
      <c r="D801" s="27"/>
      <c r="E801" s="27"/>
      <c r="F801" s="114"/>
      <c r="G801" s="2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ht="15.75" customHeight="1">
      <c r="A802" s="1"/>
      <c r="B802" s="27"/>
      <c r="C802" s="27"/>
      <c r="D802" s="27"/>
      <c r="E802" s="27"/>
      <c r="F802" s="114"/>
      <c r="G802" s="2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ht="15.75" customHeight="1">
      <c r="A803" s="1"/>
      <c r="B803" s="27"/>
      <c r="C803" s="27"/>
      <c r="D803" s="27"/>
      <c r="E803" s="27"/>
      <c r="F803" s="114"/>
      <c r="G803" s="2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ht="15.75" customHeight="1">
      <c r="A804" s="1"/>
      <c r="B804" s="27"/>
      <c r="C804" s="27"/>
      <c r="D804" s="27"/>
      <c r="E804" s="27"/>
      <c r="F804" s="114"/>
      <c r="G804" s="2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ht="15.75" customHeight="1">
      <c r="A805" s="1"/>
      <c r="B805" s="27"/>
      <c r="C805" s="27"/>
      <c r="D805" s="27"/>
      <c r="E805" s="27"/>
      <c r="F805" s="114"/>
      <c r="G805" s="2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ht="15.75" customHeight="1">
      <c r="A806" s="1"/>
      <c r="B806" s="27"/>
      <c r="C806" s="27"/>
      <c r="D806" s="27"/>
      <c r="E806" s="27"/>
      <c r="F806" s="114"/>
      <c r="G806" s="2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ht="15.75" customHeight="1">
      <c r="A807" s="1"/>
      <c r="B807" s="27"/>
      <c r="C807" s="27"/>
      <c r="D807" s="27"/>
      <c r="E807" s="27"/>
      <c r="F807" s="114"/>
      <c r="G807" s="2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ht="15.75" customHeight="1">
      <c r="A808" s="1"/>
      <c r="B808" s="27"/>
      <c r="C808" s="27"/>
      <c r="D808" s="27"/>
      <c r="E808" s="27"/>
      <c r="F808" s="114"/>
      <c r="G808" s="2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ht="15.75" customHeight="1">
      <c r="A809" s="1"/>
      <c r="B809" s="27"/>
      <c r="C809" s="27"/>
      <c r="D809" s="27"/>
      <c r="E809" s="27"/>
      <c r="F809" s="114"/>
      <c r="G809" s="2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ht="15.75" customHeight="1">
      <c r="A810" s="1"/>
      <c r="B810" s="27"/>
      <c r="C810" s="27"/>
      <c r="D810" s="27"/>
      <c r="E810" s="27"/>
      <c r="F810" s="114"/>
      <c r="G810" s="2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ht="15.75" customHeight="1">
      <c r="A811" s="1"/>
      <c r="B811" s="27"/>
      <c r="C811" s="27"/>
      <c r="D811" s="27"/>
      <c r="E811" s="27"/>
      <c r="F811" s="114"/>
      <c r="G811" s="2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ht="15.75" customHeight="1">
      <c r="A812" s="1"/>
      <c r="B812" s="27"/>
      <c r="C812" s="27"/>
      <c r="D812" s="27"/>
      <c r="E812" s="27"/>
      <c r="F812" s="114"/>
      <c r="G812" s="2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ht="15.75" customHeight="1">
      <c r="A813" s="1"/>
      <c r="B813" s="27"/>
      <c r="C813" s="27"/>
      <c r="D813" s="27"/>
      <c r="E813" s="27"/>
      <c r="F813" s="114"/>
      <c r="G813" s="2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ht="15.75" customHeight="1">
      <c r="A814" s="1"/>
      <c r="B814" s="27"/>
      <c r="C814" s="27"/>
      <c r="D814" s="27"/>
      <c r="E814" s="27"/>
      <c r="F814" s="114"/>
      <c r="G814" s="2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ht="15.75" customHeight="1">
      <c r="A815" s="1"/>
      <c r="B815" s="27"/>
      <c r="C815" s="27"/>
      <c r="D815" s="27"/>
      <c r="E815" s="27"/>
      <c r="F815" s="114"/>
      <c r="G815" s="2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ht="15.75" customHeight="1">
      <c r="A816" s="1"/>
      <c r="B816" s="27"/>
      <c r="C816" s="27"/>
      <c r="D816" s="27"/>
      <c r="E816" s="27"/>
      <c r="F816" s="114"/>
      <c r="G816" s="2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ht="15.75" customHeight="1">
      <c r="A817" s="1"/>
      <c r="B817" s="27"/>
      <c r="C817" s="27"/>
      <c r="D817" s="27"/>
      <c r="E817" s="27"/>
      <c r="F817" s="114"/>
      <c r="G817" s="2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ht="15.75" customHeight="1">
      <c r="A818" s="1"/>
      <c r="B818" s="27"/>
      <c r="C818" s="27"/>
      <c r="D818" s="27"/>
      <c r="E818" s="27"/>
      <c r="F818" s="114"/>
      <c r="G818" s="2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ht="15.75" customHeight="1">
      <c r="A819" s="1"/>
      <c r="B819" s="27"/>
      <c r="C819" s="27"/>
      <c r="D819" s="27"/>
      <c r="E819" s="27"/>
      <c r="F819" s="114"/>
      <c r="G819" s="2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ht="15.75" customHeight="1">
      <c r="A820" s="1"/>
      <c r="B820" s="27"/>
      <c r="C820" s="27"/>
      <c r="D820" s="27"/>
      <c r="E820" s="27"/>
      <c r="F820" s="114"/>
      <c r="G820" s="2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ht="15.75" customHeight="1">
      <c r="A821" s="1"/>
      <c r="B821" s="27"/>
      <c r="C821" s="27"/>
      <c r="D821" s="27"/>
      <c r="E821" s="27"/>
      <c r="F821" s="114"/>
      <c r="G821" s="2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ht="15.75" customHeight="1">
      <c r="A822" s="1"/>
      <c r="B822" s="27"/>
      <c r="C822" s="27"/>
      <c r="D822" s="27"/>
      <c r="E822" s="27"/>
      <c r="F822" s="114"/>
      <c r="G822" s="2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ht="15.75" customHeight="1">
      <c r="A823" s="1"/>
      <c r="B823" s="27"/>
      <c r="C823" s="27"/>
      <c r="D823" s="27"/>
      <c r="E823" s="27"/>
      <c r="F823" s="114"/>
      <c r="G823" s="2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ht="15.75" customHeight="1">
      <c r="A824" s="1"/>
      <c r="B824" s="27"/>
      <c r="C824" s="27"/>
      <c r="D824" s="27"/>
      <c r="E824" s="27"/>
      <c r="F824" s="114"/>
      <c r="G824" s="2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ht="15.75" customHeight="1">
      <c r="A825" s="1"/>
      <c r="B825" s="27"/>
      <c r="C825" s="27"/>
      <c r="D825" s="27"/>
      <c r="E825" s="27"/>
      <c r="F825" s="114"/>
      <c r="G825" s="2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ht="15.75" customHeight="1">
      <c r="A826" s="1"/>
      <c r="B826" s="27"/>
      <c r="C826" s="27"/>
      <c r="D826" s="27"/>
      <c r="E826" s="27"/>
      <c r="F826" s="114"/>
      <c r="G826" s="2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ht="15.75" customHeight="1">
      <c r="A827" s="1"/>
      <c r="B827" s="27"/>
      <c r="C827" s="27"/>
      <c r="D827" s="27"/>
      <c r="E827" s="27"/>
      <c r="F827" s="114"/>
      <c r="G827" s="2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ht="15.75" customHeight="1">
      <c r="A828" s="1"/>
      <c r="B828" s="27"/>
      <c r="C828" s="27"/>
      <c r="D828" s="27"/>
      <c r="E828" s="27"/>
      <c r="F828" s="114"/>
      <c r="G828" s="2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ht="15.75" customHeight="1">
      <c r="A829" s="1"/>
      <c r="B829" s="27"/>
      <c r="C829" s="27"/>
      <c r="D829" s="27"/>
      <c r="E829" s="27"/>
      <c r="F829" s="114"/>
      <c r="G829" s="2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ht="15.75" customHeight="1">
      <c r="A830" s="1"/>
      <c r="B830" s="27"/>
      <c r="C830" s="27"/>
      <c r="D830" s="27"/>
      <c r="E830" s="27"/>
      <c r="F830" s="114"/>
      <c r="G830" s="2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ht="15.75" customHeight="1">
      <c r="A831" s="1"/>
      <c r="B831" s="27"/>
      <c r="C831" s="27"/>
      <c r="D831" s="27"/>
      <c r="E831" s="27"/>
      <c r="F831" s="114"/>
      <c r="G831" s="2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ht="15.75" customHeight="1">
      <c r="A832" s="1"/>
      <c r="B832" s="27"/>
      <c r="C832" s="27"/>
      <c r="D832" s="27"/>
      <c r="E832" s="27"/>
      <c r="F832" s="114"/>
      <c r="G832" s="2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ht="15.75" customHeight="1">
      <c r="A833" s="1"/>
      <c r="B833" s="27"/>
      <c r="C833" s="27"/>
      <c r="D833" s="27"/>
      <c r="E833" s="27"/>
      <c r="F833" s="114"/>
      <c r="G833" s="2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ht="15.75" customHeight="1">
      <c r="A834" s="1"/>
      <c r="B834" s="27"/>
      <c r="C834" s="27"/>
      <c r="D834" s="27"/>
      <c r="E834" s="27"/>
      <c r="F834" s="114"/>
      <c r="G834" s="2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ht="15.75" customHeight="1">
      <c r="A835" s="1"/>
      <c r="B835" s="27"/>
      <c r="C835" s="27"/>
      <c r="D835" s="27"/>
      <c r="E835" s="27"/>
      <c r="F835" s="114"/>
      <c r="G835" s="2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ht="15.75" customHeight="1">
      <c r="A836" s="1"/>
      <c r="B836" s="27"/>
      <c r="C836" s="27"/>
      <c r="D836" s="27"/>
      <c r="E836" s="27"/>
      <c r="F836" s="114"/>
      <c r="G836" s="2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ht="15.75" customHeight="1">
      <c r="A837" s="1"/>
      <c r="B837" s="27"/>
      <c r="C837" s="27"/>
      <c r="D837" s="27"/>
      <c r="E837" s="27"/>
      <c r="F837" s="114"/>
      <c r="G837" s="2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ht="15.75" customHeight="1">
      <c r="A838" s="1"/>
      <c r="B838" s="27"/>
      <c r="C838" s="27"/>
      <c r="D838" s="27"/>
      <c r="E838" s="27"/>
      <c r="F838" s="114"/>
      <c r="G838" s="2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ht="15.75" customHeight="1">
      <c r="A839" s="1"/>
      <c r="B839" s="27"/>
      <c r="C839" s="27"/>
      <c r="D839" s="27"/>
      <c r="E839" s="27"/>
      <c r="F839" s="114"/>
      <c r="G839" s="2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ht="15.75" customHeight="1">
      <c r="A840" s="1"/>
      <c r="B840" s="27"/>
      <c r="C840" s="27"/>
      <c r="D840" s="27"/>
      <c r="E840" s="27"/>
      <c r="F840" s="114"/>
      <c r="G840" s="2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ht="15.75" customHeight="1">
      <c r="A841" s="1"/>
      <c r="B841" s="27"/>
      <c r="C841" s="27"/>
      <c r="D841" s="27"/>
      <c r="E841" s="27"/>
      <c r="F841" s="114"/>
      <c r="G841" s="2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ht="15.75" customHeight="1">
      <c r="A842" s="1"/>
      <c r="B842" s="27"/>
      <c r="C842" s="27"/>
      <c r="D842" s="27"/>
      <c r="E842" s="27"/>
      <c r="F842" s="114"/>
      <c r="G842" s="2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ht="15.75" customHeight="1">
      <c r="A843" s="1"/>
      <c r="B843" s="27"/>
      <c r="C843" s="27"/>
      <c r="D843" s="27"/>
      <c r="E843" s="27"/>
      <c r="F843" s="114"/>
      <c r="G843" s="2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ht="15.75" customHeight="1">
      <c r="A844" s="1"/>
      <c r="B844" s="27"/>
      <c r="C844" s="27"/>
      <c r="D844" s="27"/>
      <c r="E844" s="27"/>
      <c r="F844" s="114"/>
      <c r="G844" s="2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ht="15.75" customHeight="1">
      <c r="A845" s="1"/>
      <c r="B845" s="27"/>
      <c r="C845" s="27"/>
      <c r="D845" s="27"/>
      <c r="E845" s="27"/>
      <c r="F845" s="114"/>
      <c r="G845" s="2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ht="15.75" customHeight="1">
      <c r="A846" s="1"/>
      <c r="B846" s="27"/>
      <c r="C846" s="27"/>
      <c r="D846" s="27"/>
      <c r="E846" s="27"/>
      <c r="F846" s="114"/>
      <c r="G846" s="2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ht="15.75" customHeight="1">
      <c r="A847" s="1"/>
      <c r="B847" s="27"/>
      <c r="C847" s="27"/>
      <c r="D847" s="27"/>
      <c r="E847" s="27"/>
      <c r="F847" s="114"/>
      <c r="G847" s="2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ht="15.75" customHeight="1">
      <c r="A848" s="1"/>
      <c r="B848" s="27"/>
      <c r="C848" s="27"/>
      <c r="D848" s="27"/>
      <c r="E848" s="27"/>
      <c r="F848" s="114"/>
      <c r="G848" s="2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ht="15.75" customHeight="1">
      <c r="A849" s="1"/>
      <c r="B849" s="27"/>
      <c r="C849" s="27"/>
      <c r="D849" s="27"/>
      <c r="E849" s="27"/>
      <c r="F849" s="114"/>
      <c r="G849" s="2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ht="15.75" customHeight="1">
      <c r="A850" s="1"/>
      <c r="B850" s="27"/>
      <c r="C850" s="27"/>
      <c r="D850" s="27"/>
      <c r="E850" s="27"/>
      <c r="F850" s="114"/>
      <c r="G850" s="2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ht="15.75" customHeight="1">
      <c r="A851" s="1"/>
      <c r="B851" s="27"/>
      <c r="C851" s="27"/>
      <c r="D851" s="27"/>
      <c r="E851" s="27"/>
      <c r="F851" s="114"/>
      <c r="G851" s="2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ht="15.75" customHeight="1">
      <c r="A852" s="1"/>
      <c r="B852" s="27"/>
      <c r="C852" s="27"/>
      <c r="D852" s="27"/>
      <c r="E852" s="27"/>
      <c r="F852" s="114"/>
      <c r="G852" s="2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ht="15.75" customHeight="1">
      <c r="A853" s="1"/>
      <c r="B853" s="27"/>
      <c r="C853" s="27"/>
      <c r="D853" s="27"/>
      <c r="E853" s="27"/>
      <c r="F853" s="114"/>
      <c r="G853" s="2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ht="15.75" customHeight="1">
      <c r="A854" s="1"/>
      <c r="B854" s="27"/>
      <c r="C854" s="27"/>
      <c r="D854" s="27"/>
      <c r="E854" s="27"/>
      <c r="F854" s="114"/>
      <c r="G854" s="2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ht="15.75" customHeight="1">
      <c r="A855" s="1"/>
      <c r="B855" s="27"/>
      <c r="C855" s="27"/>
      <c r="D855" s="27"/>
      <c r="E855" s="27"/>
      <c r="F855" s="114"/>
      <c r="G855" s="2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ht="15.75" customHeight="1">
      <c r="A856" s="1"/>
      <c r="B856" s="27"/>
      <c r="C856" s="27"/>
      <c r="D856" s="27"/>
      <c r="E856" s="27"/>
      <c r="F856" s="114"/>
      <c r="G856" s="2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ht="15.75" customHeight="1">
      <c r="A857" s="1"/>
      <c r="B857" s="27"/>
      <c r="C857" s="27"/>
      <c r="D857" s="27"/>
      <c r="E857" s="27"/>
      <c r="F857" s="114"/>
      <c r="G857" s="2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ht="15.75" customHeight="1">
      <c r="A858" s="1"/>
      <c r="B858" s="27"/>
      <c r="C858" s="27"/>
      <c r="D858" s="27"/>
      <c r="E858" s="27"/>
      <c r="F858" s="114"/>
      <c r="G858" s="2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ht="15.75" customHeight="1">
      <c r="A859" s="1"/>
      <c r="B859" s="27"/>
      <c r="C859" s="27"/>
      <c r="D859" s="27"/>
      <c r="E859" s="27"/>
      <c r="F859" s="114"/>
      <c r="G859" s="2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ht="15.75" customHeight="1">
      <c r="A860" s="1"/>
      <c r="B860" s="27"/>
      <c r="C860" s="27"/>
      <c r="D860" s="27"/>
      <c r="E860" s="27"/>
      <c r="F860" s="114"/>
      <c r="G860" s="2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ht="15.75" customHeight="1">
      <c r="A861" s="1"/>
      <c r="B861" s="27"/>
      <c r="C861" s="27"/>
      <c r="D861" s="27"/>
      <c r="E861" s="27"/>
      <c r="F861" s="114"/>
      <c r="G861" s="2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ht="15.75" customHeight="1">
      <c r="A862" s="1"/>
      <c r="B862" s="27"/>
      <c r="C862" s="27"/>
      <c r="D862" s="27"/>
      <c r="E862" s="27"/>
      <c r="F862" s="114"/>
      <c r="G862" s="2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ht="15.75" customHeight="1">
      <c r="A863" s="1"/>
      <c r="B863" s="27"/>
      <c r="C863" s="27"/>
      <c r="D863" s="27"/>
      <c r="E863" s="27"/>
      <c r="F863" s="114"/>
      <c r="G863" s="2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ht="15.75" customHeight="1">
      <c r="A864" s="1"/>
      <c r="B864" s="27"/>
      <c r="C864" s="27"/>
      <c r="D864" s="27"/>
      <c r="E864" s="27"/>
      <c r="F864" s="114"/>
      <c r="G864" s="2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ht="15.75" customHeight="1">
      <c r="A865" s="1"/>
      <c r="B865" s="27"/>
      <c r="C865" s="27"/>
      <c r="D865" s="27"/>
      <c r="E865" s="27"/>
      <c r="F865" s="114"/>
      <c r="G865" s="2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ht="15.75" customHeight="1">
      <c r="A866" s="1"/>
      <c r="B866" s="27"/>
      <c r="C866" s="27"/>
      <c r="D866" s="27"/>
      <c r="E866" s="27"/>
      <c r="F866" s="114"/>
      <c r="G866" s="2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ht="15.75" customHeight="1">
      <c r="A867" s="1"/>
      <c r="B867" s="27"/>
      <c r="C867" s="27"/>
      <c r="D867" s="27"/>
      <c r="E867" s="27"/>
      <c r="F867" s="114"/>
      <c r="G867" s="2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ht="15.75" customHeight="1">
      <c r="A868" s="1"/>
      <c r="B868" s="27"/>
      <c r="C868" s="27"/>
      <c r="D868" s="27"/>
      <c r="E868" s="27"/>
      <c r="F868" s="114"/>
      <c r="G868" s="2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ht="15.75" customHeight="1">
      <c r="A869" s="1"/>
      <c r="B869" s="27"/>
      <c r="C869" s="27"/>
      <c r="D869" s="27"/>
      <c r="E869" s="27"/>
      <c r="F869" s="114"/>
      <c r="G869" s="2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ht="15.75" customHeight="1">
      <c r="A870" s="1"/>
      <c r="B870" s="27"/>
      <c r="C870" s="27"/>
      <c r="D870" s="27"/>
      <c r="E870" s="27"/>
      <c r="F870" s="114"/>
      <c r="G870" s="2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ht="15.75" customHeight="1">
      <c r="A871" s="1"/>
      <c r="B871" s="27"/>
      <c r="C871" s="27"/>
      <c r="D871" s="27"/>
      <c r="E871" s="27"/>
      <c r="F871" s="114"/>
      <c r="G871" s="2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ht="15.75" customHeight="1">
      <c r="A872" s="1"/>
      <c r="B872" s="27"/>
      <c r="C872" s="27"/>
      <c r="D872" s="27"/>
      <c r="E872" s="27"/>
      <c r="F872" s="114"/>
      <c r="G872" s="2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ht="15.75" customHeight="1">
      <c r="A873" s="1"/>
      <c r="B873" s="27"/>
      <c r="C873" s="27"/>
      <c r="D873" s="27"/>
      <c r="E873" s="27"/>
      <c r="F873" s="114"/>
      <c r="G873" s="2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ht="15.75" customHeight="1">
      <c r="A874" s="1"/>
      <c r="B874" s="27"/>
      <c r="C874" s="27"/>
      <c r="D874" s="27"/>
      <c r="E874" s="27"/>
      <c r="F874" s="114"/>
      <c r="G874" s="2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ht="15.75" customHeight="1">
      <c r="A875" s="1"/>
      <c r="B875" s="27"/>
      <c r="C875" s="27"/>
      <c r="D875" s="27"/>
      <c r="E875" s="27"/>
      <c r="F875" s="114"/>
      <c r="G875" s="2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ht="15.75" customHeight="1">
      <c r="A876" s="1"/>
      <c r="B876" s="27"/>
      <c r="C876" s="27"/>
      <c r="D876" s="27"/>
      <c r="E876" s="27"/>
      <c r="F876" s="114"/>
      <c r="G876" s="2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ht="15.75" customHeight="1">
      <c r="A877" s="1"/>
      <c r="B877" s="27"/>
      <c r="C877" s="27"/>
      <c r="D877" s="27"/>
      <c r="E877" s="27"/>
      <c r="F877" s="114"/>
      <c r="G877" s="2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ht="15.75" customHeight="1">
      <c r="A878" s="1"/>
      <c r="B878" s="27"/>
      <c r="C878" s="27"/>
      <c r="D878" s="27"/>
      <c r="E878" s="27"/>
      <c r="F878" s="114"/>
      <c r="G878" s="2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ht="15.75" customHeight="1">
      <c r="A879" s="1"/>
      <c r="B879" s="27"/>
      <c r="C879" s="27"/>
      <c r="D879" s="27"/>
      <c r="E879" s="27"/>
      <c r="F879" s="114"/>
      <c r="G879" s="2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ht="15.75" customHeight="1">
      <c r="A880" s="1"/>
      <c r="B880" s="27"/>
      <c r="C880" s="27"/>
      <c r="D880" s="27"/>
      <c r="E880" s="27"/>
      <c r="F880" s="114"/>
      <c r="G880" s="2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ht="15.75" customHeight="1">
      <c r="A881" s="1"/>
      <c r="B881" s="27"/>
      <c r="C881" s="27"/>
      <c r="D881" s="27"/>
      <c r="E881" s="27"/>
      <c r="F881" s="114"/>
      <c r="G881" s="2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ht="15.75" customHeight="1">
      <c r="A882" s="1"/>
      <c r="B882" s="27"/>
      <c r="C882" s="27"/>
      <c r="D882" s="27"/>
      <c r="E882" s="27"/>
      <c r="F882" s="114"/>
      <c r="G882" s="2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ht="15.75" customHeight="1">
      <c r="A883" s="1"/>
      <c r="B883" s="27"/>
      <c r="C883" s="27"/>
      <c r="D883" s="27"/>
      <c r="E883" s="27"/>
      <c r="F883" s="114"/>
      <c r="G883" s="2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ht="15.75" customHeight="1">
      <c r="A884" s="1"/>
      <c r="B884" s="27"/>
      <c r="C884" s="27"/>
      <c r="D884" s="27"/>
      <c r="E884" s="27"/>
      <c r="F884" s="114"/>
      <c r="G884" s="2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ht="15.75" customHeight="1">
      <c r="A885" s="1"/>
      <c r="B885" s="27"/>
      <c r="C885" s="27"/>
      <c r="D885" s="27"/>
      <c r="E885" s="27"/>
      <c r="F885" s="114"/>
      <c r="G885" s="2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ht="15.75" customHeight="1">
      <c r="A886" s="1"/>
      <c r="B886" s="27"/>
      <c r="C886" s="27"/>
      <c r="D886" s="27"/>
      <c r="E886" s="27"/>
      <c r="F886" s="114"/>
      <c r="G886" s="2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ht="15.75" customHeight="1">
      <c r="A887" s="1"/>
      <c r="B887" s="27"/>
      <c r="C887" s="27"/>
      <c r="D887" s="27"/>
      <c r="E887" s="27"/>
      <c r="F887" s="114"/>
      <c r="G887" s="2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ht="15.75" customHeight="1">
      <c r="A888" s="1"/>
      <c r="B888" s="27"/>
      <c r="C888" s="27"/>
      <c r="D888" s="27"/>
      <c r="E888" s="27"/>
      <c r="F888" s="114"/>
      <c r="G888" s="2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ht="15.75" customHeight="1">
      <c r="A889" s="1"/>
      <c r="B889" s="27"/>
      <c r="C889" s="27"/>
      <c r="D889" s="27"/>
      <c r="E889" s="27"/>
      <c r="F889" s="114"/>
      <c r="G889" s="2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ht="15.75" customHeight="1">
      <c r="A890" s="1"/>
      <c r="B890" s="27"/>
      <c r="C890" s="27"/>
      <c r="D890" s="27"/>
      <c r="E890" s="27"/>
      <c r="F890" s="114"/>
      <c r="G890" s="2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ht="15.75" customHeight="1">
      <c r="A891" s="1"/>
      <c r="B891" s="27"/>
      <c r="C891" s="27"/>
      <c r="D891" s="27"/>
      <c r="E891" s="27"/>
      <c r="F891" s="114"/>
      <c r="G891" s="2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ht="15.75" customHeight="1">
      <c r="A892" s="1"/>
      <c r="B892" s="27"/>
      <c r="C892" s="27"/>
      <c r="D892" s="27"/>
      <c r="E892" s="27"/>
      <c r="F892" s="114"/>
      <c r="G892" s="2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ht="15.75" customHeight="1">
      <c r="A893" s="1"/>
      <c r="B893" s="27"/>
      <c r="C893" s="27"/>
      <c r="D893" s="27"/>
      <c r="E893" s="27"/>
      <c r="F893" s="114"/>
      <c r="G893" s="2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ht="15.75" customHeight="1">
      <c r="A894" s="1"/>
      <c r="B894" s="27"/>
      <c r="C894" s="27"/>
      <c r="D894" s="27"/>
      <c r="E894" s="27"/>
      <c r="F894" s="114"/>
      <c r="G894" s="2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ht="15.75" customHeight="1">
      <c r="A895" s="1"/>
      <c r="B895" s="27"/>
      <c r="C895" s="27"/>
      <c r="D895" s="27"/>
      <c r="E895" s="27"/>
      <c r="F895" s="114"/>
      <c r="G895" s="2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ht="15.75" customHeight="1">
      <c r="A896" s="1"/>
      <c r="B896" s="27"/>
      <c r="C896" s="27"/>
      <c r="D896" s="27"/>
      <c r="E896" s="27"/>
      <c r="F896" s="114"/>
      <c r="G896" s="2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ht="15.75" customHeight="1">
      <c r="A897" s="1"/>
      <c r="B897" s="27"/>
      <c r="C897" s="27"/>
      <c r="D897" s="27"/>
      <c r="E897" s="27"/>
      <c r="F897" s="114"/>
      <c r="G897" s="2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ht="15.75" customHeight="1">
      <c r="A898" s="1"/>
      <c r="B898" s="27"/>
      <c r="C898" s="27"/>
      <c r="D898" s="27"/>
      <c r="E898" s="27"/>
      <c r="F898" s="114"/>
      <c r="G898" s="2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ht="15.75" customHeight="1">
      <c r="A899" s="1"/>
      <c r="B899" s="27"/>
      <c r="C899" s="27"/>
      <c r="D899" s="27"/>
      <c r="E899" s="27"/>
      <c r="F899" s="114"/>
      <c r="G899" s="2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ht="15.75" customHeight="1">
      <c r="A900" s="1"/>
      <c r="B900" s="27"/>
      <c r="C900" s="27"/>
      <c r="D900" s="27"/>
      <c r="E900" s="27"/>
      <c r="F900" s="114"/>
      <c r="G900" s="2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ht="15.75" customHeight="1">
      <c r="A901" s="1"/>
      <c r="B901" s="27"/>
      <c r="C901" s="27"/>
      <c r="D901" s="27"/>
      <c r="E901" s="27"/>
      <c r="F901" s="114"/>
      <c r="G901" s="2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ht="15.75" customHeight="1">
      <c r="A902" s="1"/>
      <c r="B902" s="27"/>
      <c r="C902" s="27"/>
      <c r="D902" s="27"/>
      <c r="E902" s="27"/>
      <c r="F902" s="114"/>
      <c r="G902" s="2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ht="15.75" customHeight="1">
      <c r="A903" s="1"/>
      <c r="B903" s="27"/>
      <c r="C903" s="27"/>
      <c r="D903" s="27"/>
      <c r="E903" s="27"/>
      <c r="F903" s="114"/>
      <c r="G903" s="2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ht="15.75" customHeight="1">
      <c r="A904" s="1"/>
      <c r="B904" s="27"/>
      <c r="C904" s="27"/>
      <c r="D904" s="27"/>
      <c r="E904" s="27"/>
      <c r="F904" s="114"/>
      <c r="G904" s="2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ht="15.75" customHeight="1">
      <c r="A905" s="1"/>
      <c r="B905" s="27"/>
      <c r="C905" s="27"/>
      <c r="D905" s="27"/>
      <c r="E905" s="27"/>
      <c r="F905" s="114"/>
      <c r="G905" s="2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ht="15.75" customHeight="1">
      <c r="A906" s="1"/>
      <c r="B906" s="27"/>
      <c r="C906" s="27"/>
      <c r="D906" s="27"/>
      <c r="E906" s="27"/>
      <c r="F906" s="114"/>
      <c r="G906" s="2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ht="15.75" customHeight="1">
      <c r="A907" s="1"/>
      <c r="B907" s="27"/>
      <c r="C907" s="27"/>
      <c r="D907" s="27"/>
      <c r="E907" s="27"/>
      <c r="F907" s="114"/>
      <c r="G907" s="2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ht="15.75" customHeight="1">
      <c r="A908" s="1"/>
      <c r="B908" s="27"/>
      <c r="C908" s="27"/>
      <c r="D908" s="27"/>
      <c r="E908" s="27"/>
      <c r="F908" s="114"/>
      <c r="G908" s="2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ht="15.75" customHeight="1">
      <c r="A909" s="1"/>
      <c r="B909" s="27"/>
      <c r="C909" s="27"/>
      <c r="D909" s="27"/>
      <c r="E909" s="27"/>
      <c r="F909" s="114"/>
      <c r="G909" s="2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ht="15.75" customHeight="1">
      <c r="A910" s="1"/>
      <c r="B910" s="27"/>
      <c r="C910" s="27"/>
      <c r="D910" s="27"/>
      <c r="E910" s="27"/>
      <c r="F910" s="114"/>
      <c r="G910" s="2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ht="15.75" customHeight="1">
      <c r="A911" s="1"/>
      <c r="B911" s="27"/>
      <c r="C911" s="27"/>
      <c r="D911" s="27"/>
      <c r="E911" s="27"/>
      <c r="F911" s="114"/>
      <c r="G911" s="2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ht="15.75" customHeight="1">
      <c r="A912" s="1"/>
      <c r="B912" s="27"/>
      <c r="C912" s="27"/>
      <c r="D912" s="27"/>
      <c r="E912" s="27"/>
      <c r="F912" s="114"/>
      <c r="G912" s="2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ht="15.75" customHeight="1">
      <c r="A913" s="1"/>
      <c r="B913" s="27"/>
      <c r="C913" s="27"/>
      <c r="D913" s="27"/>
      <c r="E913" s="27"/>
      <c r="F913" s="114"/>
      <c r="G913" s="2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ht="15.75" customHeight="1">
      <c r="A914" s="1"/>
      <c r="B914" s="27"/>
      <c r="C914" s="27"/>
      <c r="D914" s="27"/>
      <c r="E914" s="27"/>
      <c r="F914" s="114"/>
      <c r="G914" s="2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ht="15.75" customHeight="1">
      <c r="A915" s="1"/>
      <c r="B915" s="27"/>
      <c r="C915" s="27"/>
      <c r="D915" s="27"/>
      <c r="E915" s="27"/>
      <c r="F915" s="114"/>
      <c r="G915" s="2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ht="15.75" customHeight="1">
      <c r="A916" s="1"/>
      <c r="B916" s="27"/>
      <c r="C916" s="27"/>
      <c r="D916" s="27"/>
      <c r="E916" s="27"/>
      <c r="F916" s="114"/>
      <c r="G916" s="2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ht="15.75" customHeight="1">
      <c r="A917" s="1"/>
      <c r="B917" s="27"/>
      <c r="C917" s="27"/>
      <c r="D917" s="27"/>
      <c r="E917" s="27"/>
      <c r="F917" s="114"/>
      <c r="G917" s="2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ht="15.75" customHeight="1">
      <c r="A918" s="1"/>
      <c r="B918" s="27"/>
      <c r="C918" s="27"/>
      <c r="D918" s="27"/>
      <c r="E918" s="27"/>
      <c r="F918" s="114"/>
      <c r="G918" s="2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ht="15.75" customHeight="1">
      <c r="A919" s="1"/>
      <c r="B919" s="27"/>
      <c r="C919" s="27"/>
      <c r="D919" s="27"/>
      <c r="E919" s="27"/>
      <c r="F919" s="114"/>
      <c r="G919" s="2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ht="15.75" customHeight="1">
      <c r="A920" s="1"/>
      <c r="B920" s="27"/>
      <c r="C920" s="27"/>
      <c r="D920" s="27"/>
      <c r="E920" s="27"/>
      <c r="F920" s="114"/>
      <c r="G920" s="2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ht="15.75" customHeight="1">
      <c r="A921" s="1"/>
      <c r="B921" s="27"/>
      <c r="C921" s="27"/>
      <c r="D921" s="27"/>
      <c r="E921" s="27"/>
      <c r="F921" s="114"/>
      <c r="G921" s="2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ht="15.75" customHeight="1">
      <c r="A922" s="1"/>
      <c r="B922" s="27"/>
      <c r="C922" s="27"/>
      <c r="D922" s="27"/>
      <c r="E922" s="27"/>
      <c r="F922" s="114"/>
      <c r="G922" s="2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ht="15.75" customHeight="1">
      <c r="A923" s="1"/>
      <c r="B923" s="27"/>
      <c r="C923" s="27"/>
      <c r="D923" s="27"/>
      <c r="E923" s="27"/>
      <c r="F923" s="114"/>
      <c r="G923" s="2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ht="15.75" customHeight="1">
      <c r="A924" s="1"/>
      <c r="B924" s="27"/>
      <c r="C924" s="27"/>
      <c r="D924" s="27"/>
      <c r="E924" s="27"/>
      <c r="F924" s="114"/>
      <c r="G924" s="2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ht="15.75" customHeight="1">
      <c r="A925" s="1"/>
      <c r="B925" s="27"/>
      <c r="C925" s="27"/>
      <c r="D925" s="27"/>
      <c r="E925" s="27"/>
      <c r="F925" s="114"/>
      <c r="G925" s="2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ht="15.75" customHeight="1">
      <c r="A926" s="1"/>
      <c r="B926" s="27"/>
      <c r="C926" s="27"/>
      <c r="D926" s="27"/>
      <c r="E926" s="27"/>
      <c r="F926" s="114"/>
      <c r="G926" s="2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ht="15.75" customHeight="1">
      <c r="A927" s="1"/>
      <c r="B927" s="27"/>
      <c r="C927" s="27"/>
      <c r="D927" s="27"/>
      <c r="E927" s="27"/>
      <c r="F927" s="114"/>
      <c r="G927" s="2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ht="15.75" customHeight="1">
      <c r="A928" s="1"/>
      <c r="B928" s="27"/>
      <c r="C928" s="27"/>
      <c r="D928" s="27"/>
      <c r="E928" s="27"/>
      <c r="F928" s="114"/>
      <c r="G928" s="2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ht="15.75" customHeight="1">
      <c r="A929" s="1"/>
      <c r="B929" s="27"/>
      <c r="C929" s="27"/>
      <c r="D929" s="27"/>
      <c r="E929" s="27"/>
      <c r="F929" s="114"/>
      <c r="G929" s="2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ht="15.75" customHeight="1">
      <c r="A930" s="1"/>
      <c r="B930" s="27"/>
      <c r="C930" s="27"/>
      <c r="D930" s="27"/>
      <c r="E930" s="27"/>
      <c r="F930" s="114"/>
      <c r="G930" s="2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ht="15.75" customHeight="1">
      <c r="A931" s="1"/>
      <c r="B931" s="27"/>
      <c r="C931" s="27"/>
      <c r="D931" s="27"/>
      <c r="E931" s="27"/>
      <c r="F931" s="114"/>
      <c r="G931" s="2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ht="15.75" customHeight="1">
      <c r="A932" s="1"/>
      <c r="B932" s="27"/>
      <c r="C932" s="27"/>
      <c r="D932" s="27"/>
      <c r="E932" s="27"/>
      <c r="F932" s="114"/>
      <c r="G932" s="2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ht="15.75" customHeight="1">
      <c r="A933" s="1"/>
      <c r="B933" s="27"/>
      <c r="C933" s="27"/>
      <c r="D933" s="27"/>
      <c r="E933" s="27"/>
      <c r="F933" s="114"/>
      <c r="G933" s="2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ht="15.75" customHeight="1">
      <c r="A934" s="1"/>
      <c r="B934" s="27"/>
      <c r="C934" s="27"/>
      <c r="D934" s="27"/>
      <c r="E934" s="27"/>
      <c r="F934" s="114"/>
      <c r="G934" s="2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ht="15.75" customHeight="1">
      <c r="A935" s="1"/>
      <c r="B935" s="27"/>
      <c r="C935" s="27"/>
      <c r="D935" s="27"/>
      <c r="E935" s="27"/>
      <c r="F935" s="114"/>
      <c r="G935" s="2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ht="15.75" customHeight="1">
      <c r="A936" s="1"/>
      <c r="B936" s="27"/>
      <c r="C936" s="27"/>
      <c r="D936" s="27"/>
      <c r="E936" s="27"/>
      <c r="F936" s="114"/>
      <c r="G936" s="2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ht="15.75" customHeight="1">
      <c r="A937" s="1"/>
      <c r="B937" s="27"/>
      <c r="C937" s="27"/>
      <c r="D937" s="27"/>
      <c r="E937" s="27"/>
      <c r="F937" s="114"/>
      <c r="G937" s="2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ht="15.75" customHeight="1">
      <c r="A938" s="1"/>
      <c r="B938" s="27"/>
      <c r="C938" s="27"/>
      <c r="D938" s="27"/>
      <c r="E938" s="27"/>
      <c r="F938" s="114"/>
      <c r="G938" s="2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ht="15.75" customHeight="1">
      <c r="A939" s="1"/>
      <c r="B939" s="27"/>
      <c r="C939" s="27"/>
      <c r="D939" s="27"/>
      <c r="E939" s="27"/>
      <c r="F939" s="114"/>
      <c r="G939" s="2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ht="15.75" customHeight="1">
      <c r="A940" s="1"/>
      <c r="B940" s="27"/>
      <c r="C940" s="27"/>
      <c r="D940" s="27"/>
      <c r="E940" s="27"/>
      <c r="F940" s="114"/>
      <c r="G940" s="2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ht="15.75" customHeight="1">
      <c r="A941" s="1"/>
      <c r="B941" s="27"/>
      <c r="C941" s="27"/>
      <c r="D941" s="27"/>
      <c r="E941" s="27"/>
      <c r="F941" s="114"/>
      <c r="G941" s="2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ht="15.75" customHeight="1">
      <c r="A942" s="1"/>
      <c r="B942" s="27"/>
      <c r="C942" s="27"/>
      <c r="D942" s="27"/>
      <c r="E942" s="27"/>
      <c r="F942" s="114"/>
      <c r="G942" s="2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ht="15.75" customHeight="1">
      <c r="A943" s="1"/>
      <c r="B943" s="27"/>
      <c r="C943" s="27"/>
      <c r="D943" s="27"/>
      <c r="E943" s="27"/>
      <c r="F943" s="114"/>
      <c r="G943" s="2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ht="15.75" customHeight="1">
      <c r="A944" s="1"/>
      <c r="B944" s="27"/>
      <c r="C944" s="27"/>
      <c r="D944" s="27"/>
      <c r="E944" s="27"/>
      <c r="F944" s="114"/>
      <c r="G944" s="2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ht="15.75" customHeight="1">
      <c r="A945" s="1"/>
      <c r="B945" s="27"/>
      <c r="C945" s="27"/>
      <c r="D945" s="27"/>
      <c r="E945" s="27"/>
      <c r="F945" s="114"/>
      <c r="G945" s="2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ht="15.75" customHeight="1">
      <c r="A946" s="1"/>
      <c r="B946" s="27"/>
      <c r="C946" s="27"/>
      <c r="D946" s="27"/>
      <c r="E946" s="27"/>
      <c r="F946" s="114"/>
      <c r="G946" s="2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ht="15.75" customHeight="1">
      <c r="A947" s="1"/>
      <c r="B947" s="27"/>
      <c r="C947" s="27"/>
      <c r="D947" s="27"/>
      <c r="E947" s="27"/>
      <c r="F947" s="114"/>
      <c r="G947" s="2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ht="15.75" customHeight="1">
      <c r="A948" s="1"/>
      <c r="B948" s="27"/>
      <c r="C948" s="27"/>
      <c r="D948" s="27"/>
      <c r="E948" s="27"/>
      <c r="F948" s="114"/>
      <c r="G948" s="2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ht="15.75" customHeight="1">
      <c r="A949" s="1"/>
      <c r="B949" s="27"/>
      <c r="C949" s="27"/>
      <c r="D949" s="27"/>
      <c r="E949" s="27"/>
      <c r="F949" s="114"/>
      <c r="G949" s="2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ht="15.75" customHeight="1">
      <c r="A950" s="1"/>
      <c r="B950" s="27"/>
      <c r="C950" s="27"/>
      <c r="D950" s="27"/>
      <c r="E950" s="27"/>
      <c r="F950" s="114"/>
      <c r="G950" s="2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ht="15.75" customHeight="1">
      <c r="A951" s="1"/>
      <c r="B951" s="27"/>
      <c r="C951" s="27"/>
      <c r="D951" s="27"/>
      <c r="E951" s="27"/>
      <c r="F951" s="114"/>
      <c r="G951" s="2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ht="15.75" customHeight="1">
      <c r="A952" s="1"/>
      <c r="B952" s="27"/>
      <c r="C952" s="27"/>
      <c r="D952" s="27"/>
      <c r="E952" s="27"/>
      <c r="F952" s="114"/>
      <c r="G952" s="2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ht="15.75" customHeight="1">
      <c r="A953" s="1"/>
      <c r="B953" s="27"/>
      <c r="C953" s="27"/>
      <c r="D953" s="27"/>
      <c r="E953" s="27"/>
      <c r="F953" s="114"/>
      <c r="G953" s="2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ht="15.75" customHeight="1">
      <c r="A954" s="1"/>
      <c r="B954" s="27"/>
      <c r="C954" s="27"/>
      <c r="D954" s="27"/>
      <c r="E954" s="27"/>
      <c r="F954" s="114"/>
      <c r="G954" s="2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ht="15.75" customHeight="1">
      <c r="A955" s="1"/>
      <c r="B955" s="27"/>
      <c r="C955" s="27"/>
      <c r="D955" s="27"/>
      <c r="E955" s="27"/>
      <c r="F955" s="114"/>
      <c r="G955" s="2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ht="15.75" customHeight="1">
      <c r="A956" s="1"/>
      <c r="B956" s="27"/>
      <c r="C956" s="27"/>
      <c r="D956" s="27"/>
      <c r="E956" s="27"/>
      <c r="F956" s="114"/>
      <c r="G956" s="2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ht="15.75" customHeight="1">
      <c r="A957" s="1"/>
      <c r="B957" s="27"/>
      <c r="C957" s="27"/>
      <c r="D957" s="27"/>
      <c r="E957" s="27"/>
      <c r="F957" s="114"/>
      <c r="G957" s="2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ht="15.75" customHeight="1">
      <c r="A958" s="1"/>
      <c r="B958" s="27"/>
      <c r="C958" s="27"/>
      <c r="D958" s="27"/>
      <c r="E958" s="27"/>
      <c r="F958" s="114"/>
      <c r="G958" s="2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ht="15.75" customHeight="1">
      <c r="A959" s="1"/>
      <c r="B959" s="27"/>
      <c r="C959" s="27"/>
      <c r="D959" s="27"/>
      <c r="E959" s="27"/>
      <c r="F959" s="114"/>
      <c r="G959" s="2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ht="15.75" customHeight="1">
      <c r="A960" s="1"/>
      <c r="B960" s="27"/>
      <c r="C960" s="27"/>
      <c r="D960" s="27"/>
      <c r="E960" s="27"/>
      <c r="F960" s="114"/>
      <c r="G960" s="2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ht="15.75" customHeight="1">
      <c r="A961" s="1"/>
      <c r="B961" s="27"/>
      <c r="C961" s="27"/>
      <c r="D961" s="27"/>
      <c r="E961" s="27"/>
      <c r="F961" s="114"/>
      <c r="G961" s="2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ht="15.75" customHeight="1">
      <c r="A962" s="1"/>
      <c r="B962" s="27"/>
      <c r="C962" s="27"/>
      <c r="D962" s="27"/>
      <c r="E962" s="27"/>
      <c r="F962" s="114"/>
      <c r="G962" s="2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ht="15.75" customHeight="1">
      <c r="A963" s="1"/>
      <c r="B963" s="27"/>
      <c r="C963" s="27"/>
      <c r="D963" s="27"/>
      <c r="E963" s="27"/>
      <c r="F963" s="114"/>
      <c r="G963" s="2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ht="15.75" customHeight="1">
      <c r="A964" s="1"/>
      <c r="B964" s="27"/>
      <c r="C964" s="27"/>
      <c r="D964" s="27"/>
      <c r="E964" s="27"/>
      <c r="F964" s="114"/>
      <c r="G964" s="2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ht="15.75" customHeight="1">
      <c r="A965" s="1"/>
      <c r="B965" s="27"/>
      <c r="C965" s="27"/>
      <c r="D965" s="27"/>
      <c r="E965" s="27"/>
      <c r="F965" s="114"/>
      <c r="G965" s="2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ht="15.75" customHeight="1">
      <c r="A966" s="1"/>
      <c r="B966" s="27"/>
      <c r="C966" s="27"/>
      <c r="D966" s="27"/>
      <c r="E966" s="27"/>
      <c r="F966" s="114"/>
      <c r="G966" s="2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ht="15.75" customHeight="1">
      <c r="A967" s="1"/>
      <c r="B967" s="27"/>
      <c r="C967" s="27"/>
      <c r="D967" s="27"/>
      <c r="E967" s="27"/>
      <c r="F967" s="114"/>
      <c r="G967" s="2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ht="15.75" customHeight="1">
      <c r="A968" s="1"/>
      <c r="B968" s="27"/>
      <c r="C968" s="27"/>
      <c r="D968" s="27"/>
      <c r="E968" s="27"/>
      <c r="F968" s="114"/>
      <c r="G968" s="2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ht="15.75" customHeight="1">
      <c r="A969" s="1"/>
      <c r="B969" s="27"/>
      <c r="C969" s="27"/>
      <c r="D969" s="27"/>
      <c r="E969" s="27"/>
      <c r="F969" s="114"/>
      <c r="G969" s="2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ht="15.75" customHeight="1">
      <c r="A970" s="1"/>
      <c r="B970" s="27"/>
      <c r="C970" s="27"/>
      <c r="D970" s="27"/>
      <c r="E970" s="27"/>
      <c r="F970" s="114"/>
      <c r="G970" s="2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ht="15.75" customHeight="1">
      <c r="A971" s="1"/>
      <c r="B971" s="27"/>
      <c r="C971" s="27"/>
      <c r="D971" s="27"/>
      <c r="E971" s="27"/>
      <c r="F971" s="114"/>
      <c r="G971" s="2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ht="15.75" customHeight="1">
      <c r="A972" s="1"/>
      <c r="B972" s="27"/>
      <c r="C972" s="27"/>
      <c r="D972" s="27"/>
      <c r="E972" s="27"/>
      <c r="F972" s="114"/>
      <c r="G972" s="2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ht="15.75" customHeight="1">
      <c r="A973" s="1"/>
      <c r="B973" s="27"/>
      <c r="C973" s="27"/>
      <c r="D973" s="27"/>
      <c r="E973" s="27"/>
      <c r="F973" s="114"/>
      <c r="G973" s="2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ht="15.75" customHeight="1">
      <c r="A974" s="1"/>
      <c r="B974" s="27"/>
      <c r="C974" s="27"/>
      <c r="D974" s="27"/>
      <c r="E974" s="27"/>
      <c r="F974" s="114"/>
      <c r="G974" s="2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ht="15.75" customHeight="1">
      <c r="A975" s="1"/>
      <c r="B975" s="27"/>
      <c r="C975" s="27"/>
      <c r="D975" s="27"/>
      <c r="E975" s="27"/>
      <c r="F975" s="114"/>
      <c r="G975" s="2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ht="15.75" customHeight="1">
      <c r="A976" s="1"/>
      <c r="B976" s="27"/>
      <c r="C976" s="27"/>
      <c r="D976" s="27"/>
      <c r="E976" s="27"/>
      <c r="F976" s="114"/>
      <c r="G976" s="2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ht="15.75" customHeight="1">
      <c r="A977" s="1"/>
      <c r="B977" s="27"/>
      <c r="C977" s="27"/>
      <c r="D977" s="27"/>
      <c r="E977" s="27"/>
      <c r="F977" s="114"/>
      <c r="G977" s="2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ht="15.75" customHeight="1">
      <c r="A978" s="1"/>
      <c r="B978" s="27"/>
      <c r="C978" s="27"/>
      <c r="D978" s="27"/>
      <c r="E978" s="27"/>
      <c r="F978" s="114"/>
      <c r="G978" s="2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ht="15.75" customHeight="1">
      <c r="A979" s="1"/>
      <c r="B979" s="27"/>
      <c r="C979" s="27"/>
      <c r="D979" s="27"/>
      <c r="E979" s="27"/>
      <c r="F979" s="114"/>
      <c r="G979" s="2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ht="15.75" customHeight="1">
      <c r="A980" s="1"/>
      <c r="B980" s="27"/>
      <c r="C980" s="27"/>
      <c r="D980" s="27"/>
      <c r="E980" s="27"/>
      <c r="F980" s="114"/>
      <c r="G980" s="2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ht="15.75" customHeight="1">
      <c r="A981" s="1"/>
      <c r="B981" s="27"/>
      <c r="C981" s="27"/>
      <c r="D981" s="27"/>
      <c r="E981" s="27"/>
      <c r="F981" s="114"/>
      <c r="G981" s="2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ht="15.75" customHeight="1">
      <c r="A982" s="1"/>
      <c r="B982" s="27"/>
      <c r="C982" s="27"/>
      <c r="D982" s="27"/>
      <c r="E982" s="27"/>
      <c r="F982" s="114"/>
      <c r="G982" s="2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ht="15.75" customHeight="1">
      <c r="A983" s="1"/>
      <c r="B983" s="27"/>
      <c r="C983" s="27"/>
      <c r="D983" s="27"/>
      <c r="E983" s="27"/>
      <c r="F983" s="114"/>
      <c r="G983" s="2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ht="15.75" customHeight="1">
      <c r="A984" s="1"/>
      <c r="B984" s="27"/>
      <c r="C984" s="27"/>
      <c r="D984" s="27"/>
      <c r="E984" s="27"/>
      <c r="F984" s="114"/>
      <c r="G984" s="2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ht="15.75" customHeight="1">
      <c r="A985" s="1"/>
      <c r="B985" s="27"/>
      <c r="C985" s="27"/>
      <c r="D985" s="27"/>
      <c r="E985" s="27"/>
      <c r="F985" s="114"/>
      <c r="G985" s="2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ht="15.75" customHeight="1">
      <c r="A986" s="1"/>
      <c r="B986" s="27"/>
      <c r="C986" s="27"/>
      <c r="D986" s="27"/>
      <c r="E986" s="27"/>
      <c r="F986" s="114"/>
      <c r="G986" s="2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ht="15.75" customHeight="1">
      <c r="A987" s="1"/>
      <c r="B987" s="27"/>
      <c r="C987" s="27"/>
      <c r="D987" s="27"/>
      <c r="E987" s="27"/>
      <c r="F987" s="114"/>
      <c r="G987" s="2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 ht="15.75" customHeight="1">
      <c r="A988" s="1"/>
      <c r="B988" s="27"/>
      <c r="C988" s="27"/>
      <c r="D988" s="27"/>
      <c r="E988" s="27"/>
      <c r="F988" s="114"/>
      <c r="G988" s="2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 ht="15.75" customHeight="1">
      <c r="A989" s="1"/>
      <c r="B989" s="27"/>
      <c r="C989" s="27"/>
      <c r="D989" s="27"/>
      <c r="E989" s="27"/>
      <c r="F989" s="114"/>
      <c r="G989" s="2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 ht="15.75" customHeight="1">
      <c r="A990" s="1"/>
      <c r="B990" s="27"/>
      <c r="C990" s="27"/>
      <c r="D990" s="27"/>
      <c r="E990" s="27"/>
      <c r="F990" s="114"/>
      <c r="G990" s="2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 ht="15.75" customHeight="1">
      <c r="A991" s="1"/>
      <c r="B991" s="27"/>
      <c r="C991" s="27"/>
      <c r="D991" s="27"/>
      <c r="E991" s="27"/>
      <c r="F991" s="114"/>
      <c r="G991" s="2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 ht="15.75" customHeight="1">
      <c r="A992" s="1"/>
      <c r="B992" s="27"/>
      <c r="C992" s="27"/>
      <c r="D992" s="27"/>
      <c r="E992" s="27"/>
      <c r="F992" s="114"/>
      <c r="G992" s="2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 ht="15.75" customHeight="1">
      <c r="A993" s="1"/>
      <c r="B993" s="27"/>
      <c r="C993" s="27"/>
      <c r="D993" s="27"/>
      <c r="E993" s="27"/>
      <c r="F993" s="114"/>
      <c r="G993" s="2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 ht="15.75" customHeight="1">
      <c r="A994" s="1"/>
      <c r="B994" s="27"/>
      <c r="C994" s="27"/>
      <c r="D994" s="27"/>
      <c r="E994" s="27"/>
      <c r="F994" s="114"/>
      <c r="G994" s="2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 ht="15.75" customHeight="1">
      <c r="A995" s="1"/>
      <c r="B995" s="27"/>
      <c r="C995" s="27"/>
      <c r="D995" s="27"/>
      <c r="E995" s="27"/>
      <c r="F995" s="114"/>
      <c r="G995" s="2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 ht="15.75" customHeight="1">
      <c r="A996" s="1"/>
      <c r="B996" s="27"/>
      <c r="C996" s="27"/>
      <c r="D996" s="27"/>
      <c r="E996" s="27"/>
      <c r="F996" s="114"/>
      <c r="G996" s="2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 ht="15.75" customHeight="1">
      <c r="A997" s="1"/>
      <c r="B997" s="27"/>
      <c r="C997" s="27"/>
      <c r="D997" s="27"/>
      <c r="E997" s="27"/>
      <c r="F997" s="114"/>
      <c r="G997" s="2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 ht="15.75" customHeight="1">
      <c r="A998" s="1"/>
      <c r="B998" s="27"/>
      <c r="C998" s="27"/>
      <c r="D998" s="27"/>
      <c r="E998" s="27"/>
      <c r="F998" s="114"/>
      <c r="G998" s="2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 ht="15.75" customHeight="1">
      <c r="A999" s="1"/>
      <c r="B999" s="27"/>
      <c r="C999" s="27"/>
      <c r="D999" s="27"/>
      <c r="E999" s="27"/>
      <c r="F999" s="114"/>
      <c r="G999" s="2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 ht="15.75" customHeight="1">
      <c r="B1000" s="27"/>
      <c r="C1000" s="27"/>
      <c r="D1000" s="27"/>
      <c r="E1000" s="27"/>
      <c r="F1000" s="114"/>
      <c r="G1000" s="2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dataValidations>
    <dataValidation type="list" allowBlank="1" showErrorMessage="1" sqref="F2:F11">
      <formula1>para!$A$2:$A$8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3" max="3" width="17.88"/>
    <col customWidth="1" min="5" max="5" width="17.75"/>
    <col customWidth="1" min="6" max="6" width="40.88"/>
    <col customWidth="1" min="7" max="7" width="22.25"/>
    <col customWidth="1" min="9" max="9" width="23.13"/>
  </cols>
  <sheetData>
    <row r="1">
      <c r="A1" s="151"/>
      <c r="B1" s="7" t="s">
        <v>1</v>
      </c>
      <c r="C1" s="7" t="s">
        <v>3</v>
      </c>
      <c r="D1" s="15" t="s">
        <v>494</v>
      </c>
      <c r="E1" s="214" t="s">
        <v>8</v>
      </c>
      <c r="F1" s="215" t="s">
        <v>9</v>
      </c>
      <c r="G1" s="216" t="s">
        <v>15</v>
      </c>
      <c r="H1" s="3" t="s">
        <v>19</v>
      </c>
      <c r="I1" s="19" t="s">
        <v>17</v>
      </c>
    </row>
    <row r="2">
      <c r="A2" s="217">
        <v>1.0</v>
      </c>
      <c r="B2" s="218" t="s">
        <v>165</v>
      </c>
      <c r="C2" s="219" t="s">
        <v>170</v>
      </c>
      <c r="D2" s="71" t="s">
        <v>45</v>
      </c>
      <c r="E2" s="87" t="s">
        <v>188</v>
      </c>
      <c r="F2" s="41" t="s">
        <v>20</v>
      </c>
      <c r="G2" s="20" t="s">
        <v>497</v>
      </c>
      <c r="H2" s="35"/>
      <c r="I2" s="196" t="s">
        <v>498</v>
      </c>
    </row>
    <row r="3">
      <c r="A3" s="217">
        <v>2.0</v>
      </c>
      <c r="B3" s="218" t="s">
        <v>165</v>
      </c>
      <c r="C3" s="219" t="s">
        <v>173</v>
      </c>
      <c r="D3" s="71" t="s">
        <v>45</v>
      </c>
      <c r="E3" s="71" t="s">
        <v>73</v>
      </c>
      <c r="F3" s="41" t="s">
        <v>20</v>
      </c>
      <c r="G3" s="20" t="s">
        <v>500</v>
      </c>
      <c r="H3" s="35"/>
      <c r="I3" s="196" t="s">
        <v>501</v>
      </c>
    </row>
    <row r="4">
      <c r="A4" s="217">
        <v>3.0</v>
      </c>
      <c r="B4" s="218" t="s">
        <v>165</v>
      </c>
      <c r="C4" s="219" t="s">
        <v>175</v>
      </c>
      <c r="D4" s="87" t="s">
        <v>203</v>
      </c>
      <c r="E4" s="71"/>
      <c r="F4" s="41" t="s">
        <v>40</v>
      </c>
      <c r="G4" s="20" t="s">
        <v>502</v>
      </c>
      <c r="H4" s="35"/>
      <c r="I4" s="221" t="s">
        <v>503</v>
      </c>
    </row>
    <row r="5">
      <c r="A5" s="217">
        <v>4.0</v>
      </c>
      <c r="B5" s="218" t="s">
        <v>165</v>
      </c>
      <c r="C5" s="222" t="s">
        <v>176</v>
      </c>
      <c r="D5" s="78" t="s">
        <v>45</v>
      </c>
      <c r="E5" s="78" t="s">
        <v>505</v>
      </c>
      <c r="F5" s="41" t="s">
        <v>20</v>
      </c>
      <c r="G5" s="2" t="s">
        <v>506</v>
      </c>
      <c r="H5" s="135"/>
    </row>
    <row r="6">
      <c r="A6" s="217">
        <v>5.0</v>
      </c>
      <c r="B6" s="218" t="s">
        <v>165</v>
      </c>
      <c r="C6" s="222" t="s">
        <v>180</v>
      </c>
      <c r="D6" s="78" t="s">
        <v>45</v>
      </c>
      <c r="E6" s="78" t="s">
        <v>507</v>
      </c>
      <c r="F6" s="41" t="s">
        <v>20</v>
      </c>
      <c r="G6" s="2" t="s">
        <v>508</v>
      </c>
      <c r="H6" s="135"/>
    </row>
    <row r="7">
      <c r="A7" s="217">
        <v>6.0</v>
      </c>
      <c r="B7" s="218" t="s">
        <v>165</v>
      </c>
      <c r="C7" s="222" t="s">
        <v>183</v>
      </c>
      <c r="D7" s="78" t="s">
        <v>45</v>
      </c>
      <c r="E7" s="78" t="s">
        <v>73</v>
      </c>
      <c r="F7" s="41" t="s">
        <v>37</v>
      </c>
      <c r="G7" s="4"/>
      <c r="H7" s="135"/>
    </row>
    <row r="8">
      <c r="A8" s="217">
        <v>7.0</v>
      </c>
      <c r="B8" s="218" t="s">
        <v>165</v>
      </c>
      <c r="C8" s="222" t="s">
        <v>184</v>
      </c>
      <c r="D8" s="78" t="s">
        <v>45</v>
      </c>
      <c r="E8" s="78" t="s">
        <v>188</v>
      </c>
      <c r="F8" s="41" t="s">
        <v>40</v>
      </c>
      <c r="G8" s="4"/>
      <c r="H8" s="135"/>
    </row>
    <row r="9">
      <c r="A9" s="217">
        <v>8.0</v>
      </c>
      <c r="B9" s="218" t="s">
        <v>165</v>
      </c>
      <c r="C9" s="222" t="s">
        <v>185</v>
      </c>
      <c r="D9" s="78" t="s">
        <v>45</v>
      </c>
      <c r="E9" s="78" t="s">
        <v>200</v>
      </c>
      <c r="F9" s="41" t="s">
        <v>20</v>
      </c>
      <c r="G9" s="4"/>
      <c r="H9" s="135"/>
    </row>
    <row r="10">
      <c r="A10" s="217">
        <v>9.0</v>
      </c>
      <c r="B10" s="218" t="s">
        <v>165</v>
      </c>
      <c r="C10" s="222" t="s">
        <v>186</v>
      </c>
      <c r="D10" s="78" t="s">
        <v>45</v>
      </c>
      <c r="E10" s="78" t="s">
        <v>234</v>
      </c>
      <c r="F10" s="41" t="s">
        <v>37</v>
      </c>
      <c r="G10" s="4"/>
      <c r="H10" s="135"/>
    </row>
    <row r="11">
      <c r="A11" s="217">
        <v>10.0</v>
      </c>
      <c r="B11" s="218" t="s">
        <v>165</v>
      </c>
      <c r="C11" s="222" t="s">
        <v>186</v>
      </c>
      <c r="D11" s="78" t="s">
        <v>45</v>
      </c>
      <c r="E11" s="78" t="s">
        <v>234</v>
      </c>
      <c r="F11" s="20" t="s">
        <v>40</v>
      </c>
      <c r="G11" s="4"/>
      <c r="H11" s="135"/>
    </row>
    <row r="12">
      <c r="A12" s="217">
        <v>11.0</v>
      </c>
      <c r="B12" s="218" t="s">
        <v>165</v>
      </c>
      <c r="C12" s="224" t="s">
        <v>509</v>
      </c>
      <c r="D12" s="78" t="s">
        <v>45</v>
      </c>
      <c r="E12" s="78" t="s">
        <v>188</v>
      </c>
      <c r="F12" s="20" t="s">
        <v>50</v>
      </c>
      <c r="G12" s="2" t="s">
        <v>510</v>
      </c>
      <c r="H12" s="135"/>
    </row>
    <row r="13">
      <c r="A13" s="217">
        <v>12.0</v>
      </c>
      <c r="B13" s="218" t="s">
        <v>165</v>
      </c>
      <c r="C13" s="222" t="s">
        <v>192</v>
      </c>
      <c r="D13" s="78" t="s">
        <v>45</v>
      </c>
      <c r="E13" s="78" t="s">
        <v>200</v>
      </c>
      <c r="F13" s="20" t="s">
        <v>37</v>
      </c>
      <c r="G13" s="2" t="s">
        <v>513</v>
      </c>
      <c r="H13" s="135"/>
    </row>
    <row r="14">
      <c r="A14" s="217">
        <v>13.0</v>
      </c>
      <c r="B14" s="144" t="s">
        <v>165</v>
      </c>
      <c r="C14" s="222" t="s">
        <v>201</v>
      </c>
      <c r="D14" s="78" t="s">
        <v>45</v>
      </c>
      <c r="E14" s="78" t="s">
        <v>514</v>
      </c>
      <c r="F14" s="20" t="s">
        <v>37</v>
      </c>
      <c r="G14" s="2" t="s">
        <v>515</v>
      </c>
      <c r="H14" s="135"/>
    </row>
    <row r="15">
      <c r="A15" s="217">
        <v>14.0</v>
      </c>
      <c r="B15" s="144" t="s">
        <v>165</v>
      </c>
      <c r="C15" s="222" t="s">
        <v>206</v>
      </c>
      <c r="D15" s="78" t="s">
        <v>203</v>
      </c>
      <c r="E15" s="78" t="s">
        <v>516</v>
      </c>
      <c r="F15" s="20" t="s">
        <v>40</v>
      </c>
      <c r="G15" s="2" t="s">
        <v>517</v>
      </c>
      <c r="H15" s="135"/>
    </row>
    <row r="16">
      <c r="A16" s="151"/>
      <c r="D16" s="108" t="s">
        <v>261</v>
      </c>
      <c r="E16" s="112">
        <f>COUNTIF(F:F,"A*")</f>
        <v>4</v>
      </c>
      <c r="G16" s="151"/>
    </row>
    <row r="17">
      <c r="A17" s="151"/>
      <c r="D17" s="108" t="s">
        <v>269</v>
      </c>
      <c r="E17" s="112">
        <f>COUNTIF(F:F,"B*")</f>
        <v>5</v>
      </c>
      <c r="G17" s="151"/>
    </row>
    <row r="18">
      <c r="A18" s="151"/>
      <c r="D18" s="108" t="s">
        <v>274</v>
      </c>
      <c r="E18" s="112">
        <f>COUNTIF(F:F,"C*")</f>
        <v>4</v>
      </c>
      <c r="G18" s="151"/>
    </row>
    <row r="19">
      <c r="A19" s="151"/>
      <c r="D19" s="108" t="s">
        <v>278</v>
      </c>
      <c r="E19" s="112">
        <f>COUNTIF(F:F,"D*")</f>
        <v>0</v>
      </c>
      <c r="G19" s="151"/>
    </row>
    <row r="20">
      <c r="A20" s="151"/>
      <c r="D20" s="108" t="s">
        <v>285</v>
      </c>
      <c r="E20" s="112">
        <f>COUNTIF(F:F,"嘉*")</f>
        <v>1</v>
      </c>
      <c r="G20" s="151"/>
    </row>
    <row r="21">
      <c r="A21" s="151"/>
      <c r="D21" s="27"/>
      <c r="E21" s="27"/>
      <c r="G21" s="151"/>
    </row>
    <row r="22">
      <c r="A22" s="151"/>
      <c r="G22" s="151"/>
    </row>
    <row r="23">
      <c r="A23" s="151"/>
      <c r="G23" s="151"/>
    </row>
    <row r="24">
      <c r="A24" s="151"/>
      <c r="G24" s="151"/>
    </row>
    <row r="25">
      <c r="A25" s="151"/>
      <c r="G25" s="151"/>
    </row>
    <row r="26">
      <c r="A26" s="151"/>
      <c r="G26" s="151"/>
    </row>
    <row r="27">
      <c r="A27" s="151"/>
      <c r="G27" s="151"/>
    </row>
    <row r="28">
      <c r="A28" s="151"/>
      <c r="G28" s="151"/>
    </row>
    <row r="29">
      <c r="A29" s="151"/>
      <c r="G29" s="151"/>
    </row>
    <row r="30">
      <c r="A30" s="151"/>
      <c r="G30" s="151"/>
    </row>
    <row r="31">
      <c r="A31" s="151"/>
      <c r="G31" s="151"/>
    </row>
    <row r="32">
      <c r="A32" s="151"/>
      <c r="G32" s="151"/>
    </row>
    <row r="33">
      <c r="A33" s="151"/>
      <c r="G33" s="151"/>
    </row>
    <row r="34">
      <c r="A34" s="151"/>
      <c r="G34" s="151"/>
    </row>
    <row r="35">
      <c r="A35" s="151"/>
      <c r="G35" s="151"/>
    </row>
    <row r="36">
      <c r="A36" s="151"/>
      <c r="G36" s="151"/>
    </row>
    <row r="37">
      <c r="A37" s="151"/>
      <c r="G37" s="151"/>
    </row>
    <row r="38">
      <c r="A38" s="151"/>
      <c r="G38" s="151"/>
    </row>
    <row r="39">
      <c r="A39" s="151"/>
      <c r="G39" s="151"/>
    </row>
    <row r="40">
      <c r="A40" s="151"/>
      <c r="G40" s="151"/>
    </row>
    <row r="41">
      <c r="A41" s="151"/>
      <c r="G41" s="151"/>
    </row>
    <row r="42">
      <c r="A42" s="151"/>
      <c r="G42" s="151"/>
    </row>
    <row r="43">
      <c r="A43" s="151"/>
      <c r="G43" s="151"/>
    </row>
    <row r="44">
      <c r="A44" s="151"/>
      <c r="G44" s="151"/>
    </row>
    <row r="45">
      <c r="A45" s="151"/>
      <c r="G45" s="151"/>
    </row>
    <row r="46">
      <c r="A46" s="151"/>
      <c r="G46" s="151"/>
    </row>
    <row r="47">
      <c r="A47" s="151"/>
      <c r="G47" s="151"/>
    </row>
    <row r="48">
      <c r="A48" s="151"/>
      <c r="G48" s="151"/>
    </row>
    <row r="49">
      <c r="A49" s="151"/>
      <c r="G49" s="151"/>
    </row>
    <row r="50">
      <c r="A50" s="151"/>
      <c r="G50" s="151"/>
    </row>
    <row r="51">
      <c r="A51" s="151"/>
      <c r="G51" s="151"/>
    </row>
    <row r="52">
      <c r="A52" s="151"/>
      <c r="G52" s="151"/>
    </row>
    <row r="53">
      <c r="A53" s="151"/>
      <c r="G53" s="151"/>
    </row>
    <row r="54">
      <c r="A54" s="151"/>
      <c r="G54" s="151"/>
    </row>
    <row r="55">
      <c r="A55" s="151"/>
      <c r="G55" s="151"/>
    </row>
    <row r="56">
      <c r="A56" s="151"/>
      <c r="G56" s="151"/>
    </row>
    <row r="57">
      <c r="A57" s="151"/>
      <c r="G57" s="151"/>
    </row>
    <row r="58">
      <c r="A58" s="151"/>
      <c r="G58" s="151"/>
    </row>
    <row r="59">
      <c r="A59" s="151"/>
      <c r="G59" s="151"/>
    </row>
    <row r="60">
      <c r="A60" s="151"/>
      <c r="G60" s="151"/>
    </row>
    <row r="61">
      <c r="A61" s="151"/>
      <c r="G61" s="151"/>
    </row>
    <row r="62">
      <c r="A62" s="151"/>
      <c r="G62" s="151"/>
    </row>
    <row r="63">
      <c r="A63" s="151"/>
      <c r="G63" s="151"/>
    </row>
    <row r="64">
      <c r="A64" s="151"/>
      <c r="G64" s="151"/>
    </row>
    <row r="65">
      <c r="A65" s="151"/>
      <c r="G65" s="151"/>
    </row>
    <row r="66">
      <c r="A66" s="151"/>
      <c r="G66" s="151"/>
    </row>
    <row r="67">
      <c r="A67" s="151"/>
      <c r="G67" s="151"/>
    </row>
    <row r="68">
      <c r="A68" s="151"/>
      <c r="G68" s="151"/>
    </row>
    <row r="69">
      <c r="A69" s="151"/>
      <c r="G69" s="151"/>
    </row>
    <row r="70">
      <c r="A70" s="151"/>
      <c r="G70" s="151"/>
    </row>
    <row r="71">
      <c r="A71" s="151"/>
      <c r="G71" s="151"/>
    </row>
    <row r="72">
      <c r="A72" s="151"/>
      <c r="G72" s="151"/>
    </row>
    <row r="73">
      <c r="A73" s="151"/>
      <c r="G73" s="151"/>
    </row>
    <row r="74">
      <c r="A74" s="151"/>
      <c r="G74" s="151"/>
    </row>
    <row r="75">
      <c r="A75" s="151"/>
      <c r="G75" s="151"/>
    </row>
    <row r="76">
      <c r="A76" s="151"/>
      <c r="G76" s="151"/>
    </row>
    <row r="77">
      <c r="A77" s="151"/>
      <c r="G77" s="151"/>
    </row>
    <row r="78">
      <c r="A78" s="151"/>
      <c r="G78" s="151"/>
    </row>
    <row r="79">
      <c r="A79" s="151"/>
      <c r="G79" s="151"/>
    </row>
    <row r="80">
      <c r="A80" s="151"/>
      <c r="G80" s="151"/>
    </row>
    <row r="81">
      <c r="A81" s="151"/>
      <c r="G81" s="151"/>
    </row>
    <row r="82">
      <c r="A82" s="151"/>
      <c r="G82" s="151"/>
    </row>
    <row r="83">
      <c r="A83" s="151"/>
      <c r="G83" s="151"/>
    </row>
    <row r="84">
      <c r="A84" s="151"/>
      <c r="G84" s="151"/>
    </row>
    <row r="85">
      <c r="A85" s="151"/>
      <c r="G85" s="151"/>
    </row>
    <row r="86">
      <c r="A86" s="151"/>
      <c r="G86" s="151"/>
    </row>
    <row r="87">
      <c r="A87" s="151"/>
      <c r="G87" s="151"/>
    </row>
    <row r="88">
      <c r="A88" s="151"/>
      <c r="G88" s="151"/>
    </row>
    <row r="89">
      <c r="A89" s="151"/>
      <c r="G89" s="151"/>
    </row>
    <row r="90">
      <c r="A90" s="151"/>
      <c r="G90" s="151"/>
    </row>
    <row r="91">
      <c r="A91" s="151"/>
      <c r="G91" s="151"/>
    </row>
    <row r="92">
      <c r="A92" s="151"/>
      <c r="G92" s="151"/>
    </row>
    <row r="93">
      <c r="A93" s="151"/>
      <c r="G93" s="151"/>
    </row>
    <row r="94">
      <c r="A94" s="151"/>
      <c r="G94" s="151"/>
    </row>
    <row r="95">
      <c r="A95" s="151"/>
      <c r="G95" s="151"/>
    </row>
    <row r="96">
      <c r="A96" s="151"/>
      <c r="G96" s="151"/>
    </row>
    <row r="97">
      <c r="A97" s="151"/>
      <c r="G97" s="151"/>
    </row>
    <row r="98">
      <c r="A98" s="151"/>
      <c r="G98" s="151"/>
    </row>
    <row r="99">
      <c r="A99" s="151"/>
      <c r="G99" s="151"/>
    </row>
    <row r="100">
      <c r="A100" s="151"/>
      <c r="G100" s="151"/>
    </row>
    <row r="101">
      <c r="A101" s="151"/>
      <c r="G101" s="151"/>
    </row>
    <row r="102">
      <c r="A102" s="151"/>
      <c r="G102" s="151"/>
    </row>
    <row r="103">
      <c r="A103" s="151"/>
      <c r="G103" s="151"/>
    </row>
    <row r="104">
      <c r="A104" s="151"/>
      <c r="G104" s="151"/>
    </row>
    <row r="105">
      <c r="A105" s="151"/>
      <c r="G105" s="151"/>
    </row>
    <row r="106">
      <c r="A106" s="151"/>
      <c r="G106" s="151"/>
    </row>
    <row r="107">
      <c r="A107" s="151"/>
      <c r="G107" s="151"/>
    </row>
    <row r="108">
      <c r="A108" s="151"/>
      <c r="G108" s="151"/>
    </row>
    <row r="109">
      <c r="A109" s="151"/>
      <c r="G109" s="151"/>
    </row>
    <row r="110">
      <c r="A110" s="151"/>
      <c r="G110" s="151"/>
    </row>
    <row r="111">
      <c r="A111" s="151"/>
      <c r="G111" s="151"/>
    </row>
    <row r="112">
      <c r="A112" s="151"/>
      <c r="G112" s="151"/>
    </row>
    <row r="113">
      <c r="A113" s="151"/>
      <c r="G113" s="151"/>
    </row>
    <row r="114">
      <c r="A114" s="151"/>
      <c r="G114" s="151"/>
    </row>
    <row r="115">
      <c r="A115" s="151"/>
      <c r="G115" s="151"/>
    </row>
    <row r="116">
      <c r="A116" s="151"/>
      <c r="G116" s="151"/>
    </row>
    <row r="117">
      <c r="A117" s="151"/>
      <c r="G117" s="151"/>
    </row>
    <row r="118">
      <c r="A118" s="151"/>
      <c r="G118" s="151"/>
    </row>
    <row r="119">
      <c r="A119" s="151"/>
      <c r="G119" s="151"/>
    </row>
    <row r="120">
      <c r="A120" s="151"/>
      <c r="G120" s="151"/>
    </row>
    <row r="121">
      <c r="A121" s="151"/>
      <c r="G121" s="151"/>
    </row>
    <row r="122">
      <c r="A122" s="151"/>
      <c r="G122" s="151"/>
    </row>
    <row r="123">
      <c r="A123" s="151"/>
      <c r="G123" s="151"/>
    </row>
    <row r="124">
      <c r="A124" s="151"/>
      <c r="G124" s="151"/>
    </row>
    <row r="125">
      <c r="A125" s="151"/>
      <c r="G125" s="151"/>
    </row>
    <row r="126">
      <c r="A126" s="151"/>
      <c r="G126" s="151"/>
    </row>
    <row r="127">
      <c r="A127" s="151"/>
      <c r="G127" s="151"/>
    </row>
    <row r="128">
      <c r="A128" s="151"/>
      <c r="G128" s="151"/>
    </row>
    <row r="129">
      <c r="A129" s="151"/>
      <c r="G129" s="151"/>
    </row>
    <row r="130">
      <c r="A130" s="151"/>
      <c r="G130" s="151"/>
    </row>
    <row r="131">
      <c r="A131" s="151"/>
      <c r="G131" s="151"/>
    </row>
    <row r="132">
      <c r="A132" s="151"/>
      <c r="G132" s="151"/>
    </row>
    <row r="133">
      <c r="A133" s="151"/>
      <c r="G133" s="151"/>
    </row>
    <row r="134">
      <c r="A134" s="151"/>
      <c r="G134" s="151"/>
    </row>
    <row r="135">
      <c r="A135" s="151"/>
      <c r="G135" s="151"/>
    </row>
    <row r="136">
      <c r="A136" s="151"/>
      <c r="G136" s="151"/>
    </row>
    <row r="137">
      <c r="A137" s="151"/>
      <c r="G137" s="151"/>
    </row>
    <row r="138">
      <c r="A138" s="151"/>
      <c r="G138" s="151"/>
    </row>
    <row r="139">
      <c r="A139" s="151"/>
      <c r="G139" s="151"/>
    </row>
    <row r="140">
      <c r="A140" s="151"/>
      <c r="G140" s="151"/>
    </row>
    <row r="141">
      <c r="A141" s="151"/>
      <c r="G141" s="151"/>
    </row>
    <row r="142">
      <c r="A142" s="151"/>
      <c r="G142" s="151"/>
    </row>
    <row r="143">
      <c r="A143" s="151"/>
      <c r="G143" s="151"/>
    </row>
    <row r="144">
      <c r="A144" s="151"/>
      <c r="G144" s="151"/>
    </row>
    <row r="145">
      <c r="A145" s="151"/>
      <c r="G145" s="151"/>
    </row>
    <row r="146">
      <c r="A146" s="151"/>
      <c r="G146" s="151"/>
    </row>
    <row r="147">
      <c r="A147" s="151"/>
      <c r="G147" s="151"/>
    </row>
    <row r="148">
      <c r="A148" s="151"/>
      <c r="G148" s="151"/>
    </row>
    <row r="149">
      <c r="A149" s="151"/>
      <c r="G149" s="151"/>
    </row>
    <row r="150">
      <c r="A150" s="151"/>
      <c r="G150" s="151"/>
    </row>
    <row r="151">
      <c r="A151" s="151"/>
      <c r="G151" s="151"/>
    </row>
    <row r="152">
      <c r="A152" s="151"/>
      <c r="G152" s="151"/>
    </row>
    <row r="153">
      <c r="A153" s="151"/>
      <c r="G153" s="151"/>
    </row>
    <row r="154">
      <c r="A154" s="151"/>
      <c r="G154" s="151"/>
    </row>
    <row r="155">
      <c r="A155" s="151"/>
      <c r="G155" s="151"/>
    </row>
    <row r="156">
      <c r="A156" s="151"/>
      <c r="G156" s="151"/>
    </row>
    <row r="157">
      <c r="A157" s="151"/>
      <c r="G157" s="151"/>
    </row>
    <row r="158">
      <c r="A158" s="151"/>
      <c r="G158" s="151"/>
    </row>
    <row r="159">
      <c r="A159" s="151"/>
      <c r="G159" s="151"/>
    </row>
    <row r="160">
      <c r="A160" s="151"/>
      <c r="G160" s="151"/>
    </row>
    <row r="161">
      <c r="A161" s="151"/>
      <c r="G161" s="151"/>
    </row>
    <row r="162">
      <c r="A162" s="151"/>
      <c r="G162" s="151"/>
    </row>
    <row r="163">
      <c r="A163" s="151"/>
      <c r="G163" s="151"/>
    </row>
    <row r="164">
      <c r="A164" s="151"/>
      <c r="G164" s="151"/>
    </row>
    <row r="165">
      <c r="A165" s="151"/>
      <c r="G165" s="151"/>
    </row>
    <row r="166">
      <c r="A166" s="151"/>
      <c r="G166" s="151"/>
    </row>
    <row r="167">
      <c r="A167" s="151"/>
      <c r="G167" s="151"/>
    </row>
    <row r="168">
      <c r="A168" s="151"/>
      <c r="G168" s="151"/>
    </row>
    <row r="169">
      <c r="A169" s="151"/>
      <c r="G169" s="151"/>
    </row>
    <row r="170">
      <c r="A170" s="151"/>
      <c r="G170" s="151"/>
    </row>
    <row r="171">
      <c r="A171" s="151"/>
      <c r="G171" s="151"/>
    </row>
    <row r="172">
      <c r="A172" s="151"/>
      <c r="G172" s="151"/>
    </row>
    <row r="173">
      <c r="A173" s="151"/>
      <c r="G173" s="151"/>
    </row>
    <row r="174">
      <c r="A174" s="151"/>
      <c r="G174" s="151"/>
    </row>
    <row r="175">
      <c r="A175" s="151"/>
      <c r="G175" s="151"/>
    </row>
    <row r="176">
      <c r="A176" s="151"/>
      <c r="G176" s="151"/>
    </row>
    <row r="177">
      <c r="A177" s="151"/>
      <c r="G177" s="151"/>
    </row>
    <row r="178">
      <c r="A178" s="151"/>
      <c r="G178" s="151"/>
    </row>
    <row r="179">
      <c r="A179" s="151"/>
      <c r="G179" s="151"/>
    </row>
    <row r="180">
      <c r="A180" s="151"/>
      <c r="G180" s="151"/>
    </row>
    <row r="181">
      <c r="A181" s="151"/>
      <c r="G181" s="151"/>
    </row>
    <row r="182">
      <c r="A182" s="151"/>
      <c r="G182" s="151"/>
    </row>
    <row r="183">
      <c r="A183" s="151"/>
      <c r="G183" s="151"/>
    </row>
    <row r="184">
      <c r="A184" s="151"/>
      <c r="G184" s="151"/>
    </row>
    <row r="185">
      <c r="A185" s="151"/>
      <c r="G185" s="151"/>
    </row>
    <row r="186">
      <c r="A186" s="151"/>
      <c r="G186" s="151"/>
    </row>
    <row r="187">
      <c r="A187" s="151"/>
      <c r="G187" s="151"/>
    </row>
    <row r="188">
      <c r="A188" s="151"/>
      <c r="G188" s="151"/>
    </row>
    <row r="189">
      <c r="A189" s="151"/>
      <c r="G189" s="151"/>
    </row>
    <row r="190">
      <c r="A190" s="151"/>
      <c r="G190" s="151"/>
    </row>
    <row r="191">
      <c r="A191" s="151"/>
      <c r="G191" s="151"/>
    </row>
    <row r="192">
      <c r="A192" s="151"/>
      <c r="G192" s="151"/>
    </row>
    <row r="193">
      <c r="A193" s="151"/>
      <c r="G193" s="151"/>
    </row>
    <row r="194">
      <c r="A194" s="151"/>
      <c r="G194" s="151"/>
    </row>
    <row r="195">
      <c r="A195" s="151"/>
      <c r="G195" s="151"/>
    </row>
    <row r="196">
      <c r="A196" s="151"/>
      <c r="G196" s="151"/>
    </row>
    <row r="197">
      <c r="A197" s="151"/>
      <c r="G197" s="151"/>
    </row>
    <row r="198">
      <c r="A198" s="151"/>
      <c r="G198" s="151"/>
    </row>
    <row r="199">
      <c r="A199" s="151"/>
      <c r="G199" s="151"/>
    </row>
    <row r="200">
      <c r="A200" s="151"/>
      <c r="G200" s="151"/>
    </row>
    <row r="201">
      <c r="A201" s="151"/>
      <c r="G201" s="151"/>
    </row>
    <row r="202">
      <c r="A202" s="151"/>
      <c r="G202" s="151"/>
    </row>
    <row r="203">
      <c r="A203" s="151"/>
      <c r="G203" s="151"/>
    </row>
    <row r="204">
      <c r="A204" s="151"/>
      <c r="G204" s="151"/>
    </row>
    <row r="205">
      <c r="A205" s="151"/>
      <c r="G205" s="151"/>
    </row>
    <row r="206">
      <c r="A206" s="151"/>
      <c r="G206" s="151"/>
    </row>
    <row r="207">
      <c r="A207" s="151"/>
      <c r="G207" s="151"/>
    </row>
    <row r="208">
      <c r="A208" s="151"/>
      <c r="G208" s="151"/>
    </row>
    <row r="209">
      <c r="A209" s="151"/>
      <c r="G209" s="151"/>
    </row>
    <row r="210">
      <c r="A210" s="151"/>
      <c r="G210" s="151"/>
    </row>
    <row r="211">
      <c r="A211" s="151"/>
      <c r="G211" s="151"/>
    </row>
    <row r="212">
      <c r="A212" s="151"/>
      <c r="G212" s="151"/>
    </row>
    <row r="213">
      <c r="A213" s="151"/>
      <c r="G213" s="151"/>
    </row>
    <row r="214">
      <c r="A214" s="151"/>
      <c r="G214" s="151"/>
    </row>
    <row r="215">
      <c r="A215" s="151"/>
      <c r="G215" s="151"/>
    </row>
    <row r="216">
      <c r="A216" s="151"/>
      <c r="G216" s="151"/>
    </row>
    <row r="217">
      <c r="A217" s="151"/>
      <c r="G217" s="151"/>
    </row>
    <row r="218">
      <c r="A218" s="151"/>
      <c r="G218" s="151"/>
    </row>
    <row r="219">
      <c r="A219" s="151"/>
      <c r="G219" s="151"/>
    </row>
    <row r="220">
      <c r="A220" s="151"/>
      <c r="G220" s="151"/>
    </row>
    <row r="221">
      <c r="A221" s="151"/>
      <c r="G221" s="151"/>
    </row>
    <row r="222">
      <c r="A222" s="151"/>
      <c r="G222" s="151"/>
    </row>
    <row r="223">
      <c r="A223" s="151"/>
      <c r="G223" s="151"/>
    </row>
    <row r="224">
      <c r="A224" s="151"/>
      <c r="G224" s="151"/>
    </row>
    <row r="225">
      <c r="A225" s="151"/>
      <c r="G225" s="151"/>
    </row>
    <row r="226">
      <c r="A226" s="151"/>
      <c r="G226" s="151"/>
    </row>
    <row r="227">
      <c r="A227" s="151"/>
      <c r="G227" s="151"/>
    </row>
    <row r="228">
      <c r="A228" s="151"/>
      <c r="G228" s="151"/>
    </row>
    <row r="229">
      <c r="A229" s="151"/>
      <c r="G229" s="151"/>
    </row>
    <row r="230">
      <c r="A230" s="151"/>
      <c r="G230" s="151"/>
    </row>
    <row r="231">
      <c r="A231" s="151"/>
      <c r="G231" s="151"/>
    </row>
    <row r="232">
      <c r="A232" s="151"/>
      <c r="G232" s="151"/>
    </row>
    <row r="233">
      <c r="A233" s="151"/>
      <c r="G233" s="151"/>
    </row>
    <row r="234">
      <c r="A234" s="151"/>
      <c r="G234" s="151"/>
    </row>
    <row r="235">
      <c r="A235" s="151"/>
      <c r="G235" s="151"/>
    </row>
    <row r="236">
      <c r="A236" s="151"/>
      <c r="G236" s="151"/>
    </row>
    <row r="237">
      <c r="A237" s="151"/>
      <c r="G237" s="151"/>
    </row>
    <row r="238">
      <c r="A238" s="151"/>
      <c r="G238" s="151"/>
    </row>
    <row r="239">
      <c r="A239" s="151"/>
      <c r="G239" s="151"/>
    </row>
    <row r="240">
      <c r="A240" s="151"/>
      <c r="G240" s="151"/>
    </row>
    <row r="241">
      <c r="A241" s="151"/>
      <c r="G241" s="151"/>
    </row>
    <row r="242">
      <c r="A242" s="151"/>
      <c r="G242" s="151"/>
    </row>
    <row r="243">
      <c r="A243" s="151"/>
      <c r="G243" s="151"/>
    </row>
    <row r="244">
      <c r="A244" s="151"/>
      <c r="G244" s="151"/>
    </row>
    <row r="245">
      <c r="A245" s="151"/>
      <c r="G245" s="151"/>
    </row>
    <row r="246">
      <c r="A246" s="151"/>
      <c r="G246" s="151"/>
    </row>
    <row r="247">
      <c r="A247" s="151"/>
      <c r="G247" s="151"/>
    </row>
    <row r="248">
      <c r="A248" s="151"/>
      <c r="G248" s="151"/>
    </row>
    <row r="249">
      <c r="A249" s="151"/>
      <c r="G249" s="151"/>
    </row>
    <row r="250">
      <c r="A250" s="151"/>
      <c r="G250" s="151"/>
    </row>
    <row r="251">
      <c r="A251" s="151"/>
      <c r="G251" s="151"/>
    </row>
    <row r="252">
      <c r="A252" s="151"/>
      <c r="G252" s="151"/>
    </row>
    <row r="253">
      <c r="A253" s="151"/>
      <c r="G253" s="151"/>
    </row>
    <row r="254">
      <c r="A254" s="151"/>
      <c r="G254" s="151"/>
    </row>
    <row r="255">
      <c r="A255" s="151"/>
      <c r="G255" s="151"/>
    </row>
    <row r="256">
      <c r="A256" s="151"/>
      <c r="G256" s="151"/>
    </row>
    <row r="257">
      <c r="A257" s="151"/>
      <c r="G257" s="151"/>
    </row>
    <row r="258">
      <c r="A258" s="151"/>
      <c r="G258" s="151"/>
    </row>
    <row r="259">
      <c r="A259" s="151"/>
      <c r="G259" s="151"/>
    </row>
    <row r="260">
      <c r="A260" s="151"/>
      <c r="G260" s="151"/>
    </row>
    <row r="261">
      <c r="A261" s="151"/>
      <c r="G261" s="151"/>
    </row>
    <row r="262">
      <c r="A262" s="151"/>
      <c r="G262" s="151"/>
    </row>
    <row r="263">
      <c r="A263" s="151"/>
      <c r="G263" s="151"/>
    </row>
    <row r="264">
      <c r="A264" s="151"/>
      <c r="G264" s="151"/>
    </row>
    <row r="265">
      <c r="A265" s="151"/>
      <c r="G265" s="151"/>
    </row>
    <row r="266">
      <c r="A266" s="151"/>
      <c r="G266" s="151"/>
    </row>
    <row r="267">
      <c r="A267" s="151"/>
      <c r="G267" s="151"/>
    </row>
    <row r="268">
      <c r="A268" s="151"/>
      <c r="G268" s="151"/>
    </row>
    <row r="269">
      <c r="A269" s="151"/>
      <c r="G269" s="151"/>
    </row>
    <row r="270">
      <c r="A270" s="151"/>
      <c r="G270" s="151"/>
    </row>
    <row r="271">
      <c r="A271" s="151"/>
      <c r="G271" s="151"/>
    </row>
    <row r="272">
      <c r="A272" s="151"/>
      <c r="G272" s="151"/>
    </row>
    <row r="273">
      <c r="A273" s="151"/>
      <c r="G273" s="151"/>
    </row>
    <row r="274">
      <c r="A274" s="151"/>
      <c r="G274" s="151"/>
    </row>
    <row r="275">
      <c r="A275" s="151"/>
      <c r="G275" s="151"/>
    </row>
    <row r="276">
      <c r="A276" s="151"/>
      <c r="G276" s="151"/>
    </row>
    <row r="277">
      <c r="A277" s="151"/>
      <c r="G277" s="151"/>
    </row>
    <row r="278">
      <c r="A278" s="151"/>
      <c r="G278" s="151"/>
    </row>
    <row r="279">
      <c r="A279" s="151"/>
      <c r="G279" s="151"/>
    </row>
    <row r="280">
      <c r="A280" s="151"/>
      <c r="G280" s="151"/>
    </row>
    <row r="281">
      <c r="A281" s="151"/>
      <c r="G281" s="151"/>
    </row>
    <row r="282">
      <c r="A282" s="151"/>
      <c r="G282" s="151"/>
    </row>
    <row r="283">
      <c r="A283" s="151"/>
      <c r="G283" s="151"/>
    </row>
    <row r="284">
      <c r="A284" s="151"/>
      <c r="G284" s="151"/>
    </row>
    <row r="285">
      <c r="A285" s="151"/>
      <c r="G285" s="151"/>
    </row>
    <row r="286">
      <c r="A286" s="151"/>
      <c r="G286" s="151"/>
    </row>
    <row r="287">
      <c r="A287" s="151"/>
      <c r="G287" s="151"/>
    </row>
    <row r="288">
      <c r="A288" s="151"/>
      <c r="G288" s="151"/>
    </row>
    <row r="289">
      <c r="A289" s="151"/>
      <c r="G289" s="151"/>
    </row>
    <row r="290">
      <c r="A290" s="151"/>
      <c r="G290" s="151"/>
    </row>
    <row r="291">
      <c r="A291" s="151"/>
      <c r="G291" s="151"/>
    </row>
    <row r="292">
      <c r="A292" s="151"/>
      <c r="G292" s="151"/>
    </row>
    <row r="293">
      <c r="A293" s="151"/>
      <c r="G293" s="151"/>
    </row>
    <row r="294">
      <c r="A294" s="151"/>
      <c r="G294" s="151"/>
    </row>
    <row r="295">
      <c r="A295" s="151"/>
      <c r="G295" s="151"/>
    </row>
    <row r="296">
      <c r="A296" s="151"/>
      <c r="G296" s="151"/>
    </row>
    <row r="297">
      <c r="A297" s="151"/>
      <c r="G297" s="151"/>
    </row>
    <row r="298">
      <c r="A298" s="151"/>
      <c r="G298" s="151"/>
    </row>
    <row r="299">
      <c r="A299" s="151"/>
      <c r="G299" s="151"/>
    </row>
    <row r="300">
      <c r="A300" s="151"/>
      <c r="G300" s="151"/>
    </row>
    <row r="301">
      <c r="A301" s="151"/>
      <c r="G301" s="151"/>
    </row>
    <row r="302">
      <c r="A302" s="151"/>
      <c r="G302" s="151"/>
    </row>
    <row r="303">
      <c r="A303" s="151"/>
      <c r="G303" s="151"/>
    </row>
    <row r="304">
      <c r="A304" s="151"/>
      <c r="G304" s="151"/>
    </row>
    <row r="305">
      <c r="A305" s="151"/>
      <c r="G305" s="151"/>
    </row>
    <row r="306">
      <c r="A306" s="151"/>
      <c r="G306" s="151"/>
    </row>
    <row r="307">
      <c r="A307" s="151"/>
      <c r="G307" s="151"/>
    </row>
    <row r="308">
      <c r="A308" s="151"/>
      <c r="G308" s="151"/>
    </row>
    <row r="309">
      <c r="A309" s="151"/>
      <c r="G309" s="151"/>
    </row>
    <row r="310">
      <c r="A310" s="151"/>
      <c r="G310" s="151"/>
    </row>
    <row r="311">
      <c r="A311" s="151"/>
      <c r="G311" s="151"/>
    </row>
    <row r="312">
      <c r="A312" s="151"/>
      <c r="G312" s="151"/>
    </row>
    <row r="313">
      <c r="A313" s="151"/>
      <c r="G313" s="151"/>
    </row>
    <row r="314">
      <c r="A314" s="151"/>
      <c r="G314" s="151"/>
    </row>
    <row r="315">
      <c r="A315" s="151"/>
      <c r="G315" s="151"/>
    </row>
    <row r="316">
      <c r="A316" s="151"/>
      <c r="G316" s="151"/>
    </row>
    <row r="317">
      <c r="A317" s="151"/>
      <c r="G317" s="151"/>
    </row>
    <row r="318">
      <c r="A318" s="151"/>
      <c r="G318" s="151"/>
    </row>
    <row r="319">
      <c r="A319" s="151"/>
      <c r="G319" s="151"/>
    </row>
    <row r="320">
      <c r="A320" s="151"/>
      <c r="G320" s="151"/>
    </row>
    <row r="321">
      <c r="A321" s="151"/>
      <c r="G321" s="151"/>
    </row>
    <row r="322">
      <c r="A322" s="151"/>
      <c r="G322" s="151"/>
    </row>
    <row r="323">
      <c r="A323" s="151"/>
      <c r="G323" s="151"/>
    </row>
    <row r="324">
      <c r="A324" s="151"/>
      <c r="G324" s="151"/>
    </row>
    <row r="325">
      <c r="A325" s="151"/>
      <c r="G325" s="151"/>
    </row>
    <row r="326">
      <c r="A326" s="151"/>
      <c r="G326" s="151"/>
    </row>
    <row r="327">
      <c r="A327" s="151"/>
      <c r="G327" s="151"/>
    </row>
    <row r="328">
      <c r="A328" s="151"/>
      <c r="G328" s="151"/>
    </row>
    <row r="329">
      <c r="A329" s="151"/>
      <c r="G329" s="151"/>
    </row>
    <row r="330">
      <c r="A330" s="151"/>
      <c r="G330" s="151"/>
    </row>
    <row r="331">
      <c r="A331" s="151"/>
      <c r="G331" s="151"/>
    </row>
    <row r="332">
      <c r="A332" s="151"/>
      <c r="G332" s="151"/>
    </row>
    <row r="333">
      <c r="A333" s="151"/>
      <c r="G333" s="151"/>
    </row>
    <row r="334">
      <c r="A334" s="151"/>
      <c r="G334" s="151"/>
    </row>
    <row r="335">
      <c r="A335" s="151"/>
      <c r="G335" s="151"/>
    </row>
    <row r="336">
      <c r="A336" s="151"/>
      <c r="G336" s="151"/>
    </row>
    <row r="337">
      <c r="A337" s="151"/>
      <c r="G337" s="151"/>
    </row>
    <row r="338">
      <c r="A338" s="151"/>
      <c r="G338" s="151"/>
    </row>
    <row r="339">
      <c r="A339" s="151"/>
      <c r="G339" s="151"/>
    </row>
    <row r="340">
      <c r="A340" s="151"/>
      <c r="G340" s="151"/>
    </row>
    <row r="341">
      <c r="A341" s="151"/>
      <c r="G341" s="151"/>
    </row>
    <row r="342">
      <c r="A342" s="151"/>
      <c r="G342" s="151"/>
    </row>
    <row r="343">
      <c r="A343" s="151"/>
      <c r="G343" s="151"/>
    </row>
    <row r="344">
      <c r="A344" s="151"/>
      <c r="G344" s="151"/>
    </row>
    <row r="345">
      <c r="A345" s="151"/>
      <c r="G345" s="151"/>
    </row>
    <row r="346">
      <c r="A346" s="151"/>
      <c r="G346" s="151"/>
    </row>
    <row r="347">
      <c r="A347" s="151"/>
      <c r="G347" s="151"/>
    </row>
    <row r="348">
      <c r="A348" s="151"/>
      <c r="G348" s="151"/>
    </row>
    <row r="349">
      <c r="A349" s="151"/>
      <c r="G349" s="151"/>
    </row>
    <row r="350">
      <c r="A350" s="151"/>
      <c r="G350" s="151"/>
    </row>
    <row r="351">
      <c r="A351" s="151"/>
      <c r="G351" s="151"/>
    </row>
    <row r="352">
      <c r="A352" s="151"/>
      <c r="G352" s="151"/>
    </row>
    <row r="353">
      <c r="A353" s="151"/>
      <c r="G353" s="151"/>
    </row>
    <row r="354">
      <c r="A354" s="151"/>
      <c r="G354" s="151"/>
    </row>
    <row r="355">
      <c r="A355" s="151"/>
      <c r="G355" s="151"/>
    </row>
    <row r="356">
      <c r="A356" s="151"/>
      <c r="G356" s="151"/>
    </row>
    <row r="357">
      <c r="A357" s="151"/>
      <c r="G357" s="151"/>
    </row>
    <row r="358">
      <c r="A358" s="151"/>
      <c r="G358" s="151"/>
    </row>
    <row r="359">
      <c r="A359" s="151"/>
      <c r="G359" s="151"/>
    </row>
    <row r="360">
      <c r="A360" s="151"/>
      <c r="G360" s="151"/>
    </row>
    <row r="361">
      <c r="A361" s="151"/>
      <c r="G361" s="151"/>
    </row>
    <row r="362">
      <c r="A362" s="151"/>
      <c r="G362" s="151"/>
    </row>
    <row r="363">
      <c r="A363" s="151"/>
      <c r="G363" s="151"/>
    </row>
    <row r="364">
      <c r="A364" s="151"/>
      <c r="G364" s="151"/>
    </row>
    <row r="365">
      <c r="A365" s="151"/>
      <c r="G365" s="151"/>
    </row>
    <row r="366">
      <c r="A366" s="151"/>
      <c r="G366" s="151"/>
    </row>
    <row r="367">
      <c r="A367" s="151"/>
      <c r="G367" s="151"/>
    </row>
    <row r="368">
      <c r="A368" s="151"/>
      <c r="G368" s="151"/>
    </row>
    <row r="369">
      <c r="A369" s="151"/>
      <c r="G369" s="151"/>
    </row>
    <row r="370">
      <c r="A370" s="151"/>
      <c r="G370" s="151"/>
    </row>
    <row r="371">
      <c r="A371" s="151"/>
      <c r="G371" s="151"/>
    </row>
    <row r="372">
      <c r="A372" s="151"/>
      <c r="G372" s="151"/>
    </row>
    <row r="373">
      <c r="A373" s="151"/>
      <c r="G373" s="151"/>
    </row>
    <row r="374">
      <c r="A374" s="151"/>
      <c r="G374" s="151"/>
    </row>
    <row r="375">
      <c r="A375" s="151"/>
      <c r="G375" s="151"/>
    </row>
    <row r="376">
      <c r="A376" s="151"/>
      <c r="G376" s="151"/>
    </row>
    <row r="377">
      <c r="A377" s="151"/>
      <c r="G377" s="151"/>
    </row>
    <row r="378">
      <c r="A378" s="151"/>
      <c r="G378" s="151"/>
    </row>
    <row r="379">
      <c r="A379" s="151"/>
      <c r="G379" s="151"/>
    </row>
    <row r="380">
      <c r="A380" s="151"/>
      <c r="G380" s="151"/>
    </row>
    <row r="381">
      <c r="A381" s="151"/>
      <c r="G381" s="151"/>
    </row>
    <row r="382">
      <c r="A382" s="151"/>
      <c r="G382" s="151"/>
    </row>
    <row r="383">
      <c r="A383" s="151"/>
      <c r="G383" s="151"/>
    </row>
    <row r="384">
      <c r="A384" s="151"/>
      <c r="G384" s="151"/>
    </row>
    <row r="385">
      <c r="A385" s="151"/>
      <c r="G385" s="151"/>
    </row>
    <row r="386">
      <c r="A386" s="151"/>
      <c r="G386" s="151"/>
    </row>
    <row r="387">
      <c r="A387" s="151"/>
      <c r="G387" s="151"/>
    </row>
    <row r="388">
      <c r="A388" s="151"/>
      <c r="G388" s="151"/>
    </row>
    <row r="389">
      <c r="A389" s="151"/>
      <c r="G389" s="151"/>
    </row>
    <row r="390">
      <c r="A390" s="151"/>
      <c r="G390" s="151"/>
    </row>
    <row r="391">
      <c r="A391" s="151"/>
      <c r="G391" s="151"/>
    </row>
    <row r="392">
      <c r="A392" s="151"/>
      <c r="G392" s="151"/>
    </row>
    <row r="393">
      <c r="A393" s="151"/>
      <c r="G393" s="151"/>
    </row>
    <row r="394">
      <c r="A394" s="151"/>
      <c r="G394" s="151"/>
    </row>
    <row r="395">
      <c r="A395" s="151"/>
      <c r="G395" s="151"/>
    </row>
    <row r="396">
      <c r="A396" s="151"/>
      <c r="G396" s="151"/>
    </row>
    <row r="397">
      <c r="A397" s="151"/>
      <c r="G397" s="151"/>
    </row>
    <row r="398">
      <c r="A398" s="151"/>
      <c r="G398" s="151"/>
    </row>
    <row r="399">
      <c r="A399" s="151"/>
      <c r="G399" s="151"/>
    </row>
    <row r="400">
      <c r="A400" s="151"/>
      <c r="G400" s="151"/>
    </row>
    <row r="401">
      <c r="A401" s="151"/>
      <c r="G401" s="151"/>
    </row>
    <row r="402">
      <c r="A402" s="151"/>
      <c r="G402" s="151"/>
    </row>
    <row r="403">
      <c r="A403" s="151"/>
      <c r="G403" s="151"/>
    </row>
    <row r="404">
      <c r="A404" s="151"/>
      <c r="G404" s="151"/>
    </row>
    <row r="405">
      <c r="A405" s="151"/>
      <c r="G405" s="151"/>
    </row>
    <row r="406">
      <c r="A406" s="151"/>
      <c r="G406" s="151"/>
    </row>
    <row r="407">
      <c r="A407" s="151"/>
      <c r="G407" s="151"/>
    </row>
    <row r="408">
      <c r="A408" s="151"/>
      <c r="G408" s="151"/>
    </row>
    <row r="409">
      <c r="A409" s="151"/>
      <c r="G409" s="151"/>
    </row>
    <row r="410">
      <c r="A410" s="151"/>
      <c r="G410" s="151"/>
    </row>
    <row r="411">
      <c r="A411" s="151"/>
      <c r="G411" s="151"/>
    </row>
    <row r="412">
      <c r="A412" s="151"/>
      <c r="G412" s="151"/>
    </row>
    <row r="413">
      <c r="A413" s="151"/>
      <c r="G413" s="151"/>
    </row>
    <row r="414">
      <c r="A414" s="151"/>
      <c r="G414" s="151"/>
    </row>
    <row r="415">
      <c r="A415" s="151"/>
      <c r="G415" s="151"/>
    </row>
    <row r="416">
      <c r="A416" s="151"/>
      <c r="G416" s="151"/>
    </row>
    <row r="417">
      <c r="A417" s="151"/>
      <c r="G417" s="151"/>
    </row>
    <row r="418">
      <c r="A418" s="151"/>
      <c r="G418" s="151"/>
    </row>
    <row r="419">
      <c r="A419" s="151"/>
      <c r="G419" s="151"/>
    </row>
    <row r="420">
      <c r="A420" s="151"/>
      <c r="G420" s="151"/>
    </row>
    <row r="421">
      <c r="A421" s="151"/>
      <c r="G421" s="151"/>
    </row>
    <row r="422">
      <c r="A422" s="151"/>
      <c r="G422" s="151"/>
    </row>
    <row r="423">
      <c r="A423" s="151"/>
      <c r="G423" s="151"/>
    </row>
    <row r="424">
      <c r="A424" s="151"/>
      <c r="G424" s="151"/>
    </row>
    <row r="425">
      <c r="A425" s="151"/>
      <c r="G425" s="151"/>
    </row>
    <row r="426">
      <c r="A426" s="151"/>
      <c r="G426" s="151"/>
    </row>
    <row r="427">
      <c r="A427" s="151"/>
      <c r="G427" s="151"/>
    </row>
    <row r="428">
      <c r="A428" s="151"/>
      <c r="G428" s="151"/>
    </row>
    <row r="429">
      <c r="A429" s="151"/>
      <c r="G429" s="151"/>
    </row>
    <row r="430">
      <c r="A430" s="151"/>
      <c r="G430" s="151"/>
    </row>
    <row r="431">
      <c r="A431" s="151"/>
      <c r="G431" s="151"/>
    </row>
    <row r="432">
      <c r="A432" s="151"/>
      <c r="G432" s="151"/>
    </row>
    <row r="433">
      <c r="A433" s="151"/>
      <c r="G433" s="151"/>
    </row>
    <row r="434">
      <c r="A434" s="151"/>
      <c r="G434" s="151"/>
    </row>
    <row r="435">
      <c r="A435" s="151"/>
      <c r="G435" s="151"/>
    </row>
    <row r="436">
      <c r="A436" s="151"/>
      <c r="G436" s="151"/>
    </row>
    <row r="437">
      <c r="A437" s="151"/>
      <c r="G437" s="151"/>
    </row>
    <row r="438">
      <c r="A438" s="151"/>
      <c r="G438" s="151"/>
    </row>
    <row r="439">
      <c r="A439" s="151"/>
      <c r="G439" s="151"/>
    </row>
    <row r="440">
      <c r="A440" s="151"/>
      <c r="G440" s="151"/>
    </row>
    <row r="441">
      <c r="A441" s="151"/>
      <c r="G441" s="151"/>
    </row>
    <row r="442">
      <c r="A442" s="151"/>
      <c r="G442" s="151"/>
    </row>
    <row r="443">
      <c r="A443" s="151"/>
      <c r="G443" s="151"/>
    </row>
    <row r="444">
      <c r="A444" s="151"/>
      <c r="G444" s="151"/>
    </row>
    <row r="445">
      <c r="A445" s="151"/>
      <c r="G445" s="151"/>
    </row>
    <row r="446">
      <c r="A446" s="151"/>
      <c r="G446" s="151"/>
    </row>
    <row r="447">
      <c r="A447" s="151"/>
      <c r="G447" s="151"/>
    </row>
    <row r="448">
      <c r="A448" s="151"/>
      <c r="G448" s="151"/>
    </row>
    <row r="449">
      <c r="A449" s="151"/>
      <c r="G449" s="151"/>
    </row>
    <row r="450">
      <c r="A450" s="151"/>
      <c r="G450" s="151"/>
    </row>
    <row r="451">
      <c r="A451" s="151"/>
      <c r="G451" s="151"/>
    </row>
    <row r="452">
      <c r="A452" s="151"/>
      <c r="G452" s="151"/>
    </row>
    <row r="453">
      <c r="A453" s="151"/>
      <c r="G453" s="151"/>
    </row>
    <row r="454">
      <c r="A454" s="151"/>
      <c r="G454" s="151"/>
    </row>
    <row r="455">
      <c r="A455" s="151"/>
      <c r="G455" s="151"/>
    </row>
    <row r="456">
      <c r="A456" s="151"/>
      <c r="G456" s="151"/>
    </row>
    <row r="457">
      <c r="A457" s="151"/>
      <c r="G457" s="151"/>
    </row>
    <row r="458">
      <c r="A458" s="151"/>
      <c r="G458" s="151"/>
    </row>
    <row r="459">
      <c r="A459" s="151"/>
      <c r="G459" s="151"/>
    </row>
    <row r="460">
      <c r="A460" s="151"/>
      <c r="G460" s="151"/>
    </row>
    <row r="461">
      <c r="A461" s="151"/>
      <c r="G461" s="151"/>
    </row>
    <row r="462">
      <c r="A462" s="151"/>
      <c r="G462" s="151"/>
    </row>
    <row r="463">
      <c r="A463" s="151"/>
      <c r="G463" s="151"/>
    </row>
    <row r="464">
      <c r="A464" s="151"/>
      <c r="G464" s="151"/>
    </row>
    <row r="465">
      <c r="A465" s="151"/>
      <c r="G465" s="151"/>
    </row>
    <row r="466">
      <c r="A466" s="151"/>
      <c r="G466" s="151"/>
    </row>
    <row r="467">
      <c r="A467" s="151"/>
      <c r="G467" s="151"/>
    </row>
    <row r="468">
      <c r="A468" s="151"/>
      <c r="G468" s="151"/>
    </row>
    <row r="469">
      <c r="A469" s="151"/>
      <c r="G469" s="151"/>
    </row>
    <row r="470">
      <c r="A470" s="151"/>
      <c r="G470" s="151"/>
    </row>
    <row r="471">
      <c r="A471" s="151"/>
      <c r="G471" s="151"/>
    </row>
    <row r="472">
      <c r="A472" s="151"/>
      <c r="G472" s="151"/>
    </row>
    <row r="473">
      <c r="A473" s="151"/>
      <c r="G473" s="151"/>
    </row>
    <row r="474">
      <c r="A474" s="151"/>
      <c r="G474" s="151"/>
    </row>
    <row r="475">
      <c r="A475" s="151"/>
      <c r="G475" s="151"/>
    </row>
    <row r="476">
      <c r="A476" s="151"/>
      <c r="G476" s="151"/>
    </row>
    <row r="477">
      <c r="A477" s="151"/>
      <c r="G477" s="151"/>
    </row>
    <row r="478">
      <c r="A478" s="151"/>
      <c r="G478" s="151"/>
    </row>
    <row r="479">
      <c r="A479" s="151"/>
      <c r="G479" s="151"/>
    </row>
    <row r="480">
      <c r="A480" s="151"/>
      <c r="G480" s="151"/>
    </row>
    <row r="481">
      <c r="A481" s="151"/>
      <c r="G481" s="151"/>
    </row>
    <row r="482">
      <c r="A482" s="151"/>
      <c r="G482" s="151"/>
    </row>
    <row r="483">
      <c r="A483" s="151"/>
      <c r="G483" s="151"/>
    </row>
    <row r="484">
      <c r="A484" s="151"/>
      <c r="G484" s="151"/>
    </row>
    <row r="485">
      <c r="A485" s="151"/>
      <c r="G485" s="151"/>
    </row>
    <row r="486">
      <c r="A486" s="151"/>
      <c r="G486" s="151"/>
    </row>
    <row r="487">
      <c r="A487" s="151"/>
      <c r="G487" s="151"/>
    </row>
    <row r="488">
      <c r="A488" s="151"/>
      <c r="G488" s="151"/>
    </row>
    <row r="489">
      <c r="A489" s="151"/>
      <c r="G489" s="151"/>
    </row>
    <row r="490">
      <c r="A490" s="151"/>
      <c r="G490" s="151"/>
    </row>
    <row r="491">
      <c r="A491" s="151"/>
      <c r="G491" s="151"/>
    </row>
    <row r="492">
      <c r="A492" s="151"/>
      <c r="G492" s="151"/>
    </row>
    <row r="493">
      <c r="A493" s="151"/>
      <c r="G493" s="151"/>
    </row>
    <row r="494">
      <c r="A494" s="151"/>
      <c r="G494" s="151"/>
    </row>
    <row r="495">
      <c r="A495" s="151"/>
      <c r="G495" s="151"/>
    </row>
    <row r="496">
      <c r="A496" s="151"/>
      <c r="G496" s="151"/>
    </row>
    <row r="497">
      <c r="A497" s="151"/>
      <c r="G497" s="151"/>
    </row>
    <row r="498">
      <c r="A498" s="151"/>
      <c r="G498" s="151"/>
    </row>
    <row r="499">
      <c r="A499" s="151"/>
      <c r="G499" s="151"/>
    </row>
    <row r="500">
      <c r="A500" s="151"/>
      <c r="G500" s="151"/>
    </row>
    <row r="501">
      <c r="A501" s="151"/>
      <c r="G501" s="151"/>
    </row>
    <row r="502">
      <c r="A502" s="151"/>
      <c r="G502" s="151"/>
    </row>
    <row r="503">
      <c r="A503" s="151"/>
      <c r="G503" s="151"/>
    </row>
    <row r="504">
      <c r="A504" s="151"/>
      <c r="G504" s="151"/>
    </row>
    <row r="505">
      <c r="A505" s="151"/>
      <c r="G505" s="151"/>
    </row>
    <row r="506">
      <c r="A506" s="151"/>
      <c r="G506" s="151"/>
    </row>
    <row r="507">
      <c r="A507" s="151"/>
      <c r="G507" s="151"/>
    </row>
    <row r="508">
      <c r="A508" s="151"/>
      <c r="G508" s="151"/>
    </row>
    <row r="509">
      <c r="A509" s="151"/>
      <c r="G509" s="151"/>
    </row>
    <row r="510">
      <c r="A510" s="151"/>
      <c r="G510" s="151"/>
    </row>
    <row r="511">
      <c r="A511" s="151"/>
      <c r="G511" s="151"/>
    </row>
    <row r="512">
      <c r="A512" s="151"/>
      <c r="G512" s="151"/>
    </row>
    <row r="513">
      <c r="A513" s="151"/>
      <c r="G513" s="151"/>
    </row>
    <row r="514">
      <c r="A514" s="151"/>
      <c r="G514" s="151"/>
    </row>
    <row r="515">
      <c r="A515" s="151"/>
      <c r="G515" s="151"/>
    </row>
    <row r="516">
      <c r="A516" s="151"/>
      <c r="G516" s="151"/>
    </row>
    <row r="517">
      <c r="A517" s="151"/>
      <c r="G517" s="151"/>
    </row>
    <row r="518">
      <c r="A518" s="151"/>
      <c r="G518" s="151"/>
    </row>
    <row r="519">
      <c r="A519" s="151"/>
      <c r="G519" s="151"/>
    </row>
    <row r="520">
      <c r="A520" s="151"/>
      <c r="G520" s="151"/>
    </row>
    <row r="521">
      <c r="A521" s="151"/>
      <c r="G521" s="151"/>
    </row>
    <row r="522">
      <c r="A522" s="151"/>
      <c r="G522" s="151"/>
    </row>
    <row r="523">
      <c r="A523" s="151"/>
      <c r="G523" s="151"/>
    </row>
    <row r="524">
      <c r="A524" s="151"/>
      <c r="G524" s="151"/>
    </row>
    <row r="525">
      <c r="A525" s="151"/>
      <c r="G525" s="151"/>
    </row>
    <row r="526">
      <c r="A526" s="151"/>
      <c r="G526" s="151"/>
    </row>
    <row r="527">
      <c r="A527" s="151"/>
      <c r="G527" s="151"/>
    </row>
    <row r="528">
      <c r="A528" s="151"/>
      <c r="G528" s="151"/>
    </row>
    <row r="529">
      <c r="A529" s="151"/>
      <c r="G529" s="151"/>
    </row>
    <row r="530">
      <c r="A530" s="151"/>
      <c r="G530" s="151"/>
    </row>
    <row r="531">
      <c r="A531" s="151"/>
      <c r="G531" s="151"/>
    </row>
    <row r="532">
      <c r="A532" s="151"/>
      <c r="G532" s="151"/>
    </row>
    <row r="533">
      <c r="A533" s="151"/>
      <c r="G533" s="151"/>
    </row>
    <row r="534">
      <c r="A534" s="151"/>
      <c r="G534" s="151"/>
    </row>
    <row r="535">
      <c r="A535" s="151"/>
      <c r="G535" s="151"/>
    </row>
    <row r="536">
      <c r="A536" s="151"/>
      <c r="G536" s="151"/>
    </row>
    <row r="537">
      <c r="A537" s="151"/>
      <c r="G537" s="151"/>
    </row>
    <row r="538">
      <c r="A538" s="151"/>
      <c r="G538" s="151"/>
    </row>
    <row r="539">
      <c r="A539" s="151"/>
      <c r="G539" s="151"/>
    </row>
    <row r="540">
      <c r="A540" s="151"/>
      <c r="G540" s="151"/>
    </row>
    <row r="541">
      <c r="A541" s="151"/>
      <c r="G541" s="151"/>
    </row>
    <row r="542">
      <c r="A542" s="151"/>
      <c r="G542" s="151"/>
    </row>
    <row r="543">
      <c r="A543" s="151"/>
      <c r="G543" s="151"/>
    </row>
    <row r="544">
      <c r="A544" s="151"/>
      <c r="G544" s="151"/>
    </row>
    <row r="545">
      <c r="A545" s="151"/>
      <c r="G545" s="151"/>
    </row>
    <row r="546">
      <c r="A546" s="151"/>
      <c r="G546" s="151"/>
    </row>
    <row r="547">
      <c r="A547" s="151"/>
      <c r="G547" s="151"/>
    </row>
    <row r="548">
      <c r="A548" s="151"/>
      <c r="G548" s="151"/>
    </row>
    <row r="549">
      <c r="A549" s="151"/>
      <c r="G549" s="151"/>
    </row>
    <row r="550">
      <c r="A550" s="151"/>
      <c r="G550" s="151"/>
    </row>
    <row r="551">
      <c r="A551" s="151"/>
      <c r="G551" s="151"/>
    </row>
    <row r="552">
      <c r="A552" s="151"/>
      <c r="G552" s="151"/>
    </row>
    <row r="553">
      <c r="A553" s="151"/>
      <c r="G553" s="151"/>
    </row>
    <row r="554">
      <c r="A554" s="151"/>
      <c r="G554" s="151"/>
    </row>
    <row r="555">
      <c r="A555" s="151"/>
      <c r="G555" s="151"/>
    </row>
    <row r="556">
      <c r="A556" s="151"/>
      <c r="G556" s="151"/>
    </row>
    <row r="557">
      <c r="A557" s="151"/>
      <c r="G557" s="151"/>
    </row>
    <row r="558">
      <c r="A558" s="151"/>
      <c r="G558" s="151"/>
    </row>
    <row r="559">
      <c r="A559" s="151"/>
      <c r="G559" s="151"/>
    </row>
    <row r="560">
      <c r="A560" s="151"/>
      <c r="G560" s="151"/>
    </row>
    <row r="561">
      <c r="A561" s="151"/>
      <c r="G561" s="151"/>
    </row>
    <row r="562">
      <c r="A562" s="151"/>
      <c r="G562" s="151"/>
    </row>
    <row r="563">
      <c r="A563" s="151"/>
      <c r="G563" s="151"/>
    </row>
    <row r="564">
      <c r="A564" s="151"/>
      <c r="G564" s="151"/>
    </row>
    <row r="565">
      <c r="A565" s="151"/>
      <c r="G565" s="151"/>
    </row>
    <row r="566">
      <c r="A566" s="151"/>
      <c r="G566" s="151"/>
    </row>
    <row r="567">
      <c r="A567" s="151"/>
      <c r="G567" s="151"/>
    </row>
    <row r="568">
      <c r="A568" s="151"/>
      <c r="G568" s="151"/>
    </row>
    <row r="569">
      <c r="A569" s="151"/>
      <c r="G569" s="151"/>
    </row>
    <row r="570">
      <c r="A570" s="151"/>
      <c r="G570" s="151"/>
    </row>
    <row r="571">
      <c r="A571" s="151"/>
      <c r="G571" s="151"/>
    </row>
    <row r="572">
      <c r="A572" s="151"/>
      <c r="G572" s="151"/>
    </row>
    <row r="573">
      <c r="A573" s="151"/>
      <c r="G573" s="151"/>
    </row>
    <row r="574">
      <c r="A574" s="151"/>
      <c r="G574" s="151"/>
    </row>
    <row r="575">
      <c r="A575" s="151"/>
      <c r="G575" s="151"/>
    </row>
    <row r="576">
      <c r="A576" s="151"/>
      <c r="G576" s="151"/>
    </row>
    <row r="577">
      <c r="A577" s="151"/>
      <c r="G577" s="151"/>
    </row>
    <row r="578">
      <c r="A578" s="151"/>
      <c r="G578" s="151"/>
    </row>
    <row r="579">
      <c r="A579" s="151"/>
      <c r="G579" s="151"/>
    </row>
    <row r="580">
      <c r="A580" s="151"/>
      <c r="G580" s="151"/>
    </row>
    <row r="581">
      <c r="A581" s="151"/>
      <c r="G581" s="151"/>
    </row>
    <row r="582">
      <c r="A582" s="151"/>
      <c r="G582" s="151"/>
    </row>
    <row r="583">
      <c r="A583" s="151"/>
      <c r="G583" s="151"/>
    </row>
    <row r="584">
      <c r="A584" s="151"/>
      <c r="G584" s="151"/>
    </row>
    <row r="585">
      <c r="A585" s="151"/>
      <c r="G585" s="151"/>
    </row>
    <row r="586">
      <c r="A586" s="151"/>
      <c r="G586" s="151"/>
    </row>
    <row r="587">
      <c r="A587" s="151"/>
      <c r="G587" s="151"/>
    </row>
    <row r="588">
      <c r="A588" s="151"/>
      <c r="G588" s="151"/>
    </row>
    <row r="589">
      <c r="A589" s="151"/>
      <c r="G589" s="151"/>
    </row>
    <row r="590">
      <c r="A590" s="151"/>
      <c r="G590" s="151"/>
    </row>
    <row r="591">
      <c r="A591" s="151"/>
      <c r="G591" s="151"/>
    </row>
    <row r="592">
      <c r="A592" s="151"/>
      <c r="G592" s="151"/>
    </row>
    <row r="593">
      <c r="A593" s="151"/>
      <c r="G593" s="151"/>
    </row>
    <row r="594">
      <c r="A594" s="151"/>
      <c r="G594" s="151"/>
    </row>
    <row r="595">
      <c r="A595" s="151"/>
      <c r="G595" s="151"/>
    </row>
    <row r="596">
      <c r="A596" s="151"/>
      <c r="G596" s="151"/>
    </row>
    <row r="597">
      <c r="A597" s="151"/>
      <c r="G597" s="151"/>
    </row>
    <row r="598">
      <c r="A598" s="151"/>
      <c r="G598" s="151"/>
    </row>
    <row r="599">
      <c r="A599" s="151"/>
      <c r="G599" s="151"/>
    </row>
    <row r="600">
      <c r="A600" s="151"/>
      <c r="G600" s="151"/>
    </row>
    <row r="601">
      <c r="A601" s="151"/>
      <c r="G601" s="151"/>
    </row>
    <row r="602">
      <c r="A602" s="151"/>
      <c r="G602" s="151"/>
    </row>
    <row r="603">
      <c r="A603" s="151"/>
      <c r="G603" s="151"/>
    </row>
    <row r="604">
      <c r="A604" s="151"/>
      <c r="G604" s="151"/>
    </row>
    <row r="605">
      <c r="A605" s="151"/>
      <c r="G605" s="151"/>
    </row>
    <row r="606">
      <c r="A606" s="151"/>
      <c r="G606" s="151"/>
    </row>
    <row r="607">
      <c r="A607" s="151"/>
      <c r="G607" s="151"/>
    </row>
    <row r="608">
      <c r="A608" s="151"/>
      <c r="G608" s="151"/>
    </row>
    <row r="609">
      <c r="A609" s="151"/>
      <c r="G609" s="151"/>
    </row>
    <row r="610">
      <c r="A610" s="151"/>
      <c r="G610" s="151"/>
    </row>
    <row r="611">
      <c r="A611" s="151"/>
      <c r="G611" s="151"/>
    </row>
    <row r="612">
      <c r="A612" s="151"/>
      <c r="G612" s="151"/>
    </row>
    <row r="613">
      <c r="A613" s="151"/>
      <c r="G613" s="151"/>
    </row>
    <row r="614">
      <c r="A614" s="151"/>
      <c r="G614" s="151"/>
    </row>
    <row r="615">
      <c r="A615" s="151"/>
      <c r="G615" s="151"/>
    </row>
    <row r="616">
      <c r="A616" s="151"/>
      <c r="G616" s="151"/>
    </row>
    <row r="617">
      <c r="A617" s="151"/>
      <c r="G617" s="151"/>
    </row>
    <row r="618">
      <c r="A618" s="151"/>
      <c r="G618" s="151"/>
    </row>
    <row r="619">
      <c r="A619" s="151"/>
      <c r="G619" s="151"/>
    </row>
    <row r="620">
      <c r="A620" s="151"/>
      <c r="G620" s="151"/>
    </row>
    <row r="621">
      <c r="A621" s="151"/>
      <c r="G621" s="151"/>
    </row>
    <row r="622">
      <c r="A622" s="151"/>
      <c r="G622" s="151"/>
    </row>
    <row r="623">
      <c r="A623" s="151"/>
      <c r="G623" s="151"/>
    </row>
    <row r="624">
      <c r="A624" s="151"/>
      <c r="G624" s="151"/>
    </row>
    <row r="625">
      <c r="A625" s="151"/>
      <c r="G625" s="151"/>
    </row>
    <row r="626">
      <c r="A626" s="151"/>
      <c r="G626" s="151"/>
    </row>
    <row r="627">
      <c r="A627" s="151"/>
      <c r="G627" s="151"/>
    </row>
    <row r="628">
      <c r="A628" s="151"/>
      <c r="G628" s="151"/>
    </row>
    <row r="629">
      <c r="A629" s="151"/>
      <c r="G629" s="151"/>
    </row>
    <row r="630">
      <c r="A630" s="151"/>
      <c r="G630" s="151"/>
    </row>
    <row r="631">
      <c r="A631" s="151"/>
      <c r="G631" s="151"/>
    </row>
    <row r="632">
      <c r="A632" s="151"/>
      <c r="G632" s="151"/>
    </row>
    <row r="633">
      <c r="A633" s="151"/>
      <c r="G633" s="151"/>
    </row>
    <row r="634">
      <c r="A634" s="151"/>
      <c r="G634" s="151"/>
    </row>
    <row r="635">
      <c r="A635" s="151"/>
      <c r="G635" s="151"/>
    </row>
    <row r="636">
      <c r="A636" s="151"/>
      <c r="G636" s="151"/>
    </row>
    <row r="637">
      <c r="A637" s="151"/>
      <c r="G637" s="151"/>
    </row>
    <row r="638">
      <c r="A638" s="151"/>
      <c r="G638" s="151"/>
    </row>
    <row r="639">
      <c r="A639" s="151"/>
      <c r="G639" s="151"/>
    </row>
    <row r="640">
      <c r="A640" s="151"/>
      <c r="G640" s="151"/>
    </row>
    <row r="641">
      <c r="A641" s="151"/>
      <c r="G641" s="151"/>
    </row>
    <row r="642">
      <c r="A642" s="151"/>
      <c r="G642" s="151"/>
    </row>
    <row r="643">
      <c r="A643" s="151"/>
      <c r="G643" s="151"/>
    </row>
    <row r="644">
      <c r="A644" s="151"/>
      <c r="G644" s="151"/>
    </row>
    <row r="645">
      <c r="A645" s="151"/>
      <c r="G645" s="151"/>
    </row>
    <row r="646">
      <c r="A646" s="151"/>
      <c r="G646" s="151"/>
    </row>
    <row r="647">
      <c r="A647" s="151"/>
      <c r="G647" s="151"/>
    </row>
    <row r="648">
      <c r="A648" s="151"/>
      <c r="G648" s="151"/>
    </row>
    <row r="649">
      <c r="A649" s="151"/>
      <c r="G649" s="151"/>
    </row>
    <row r="650">
      <c r="A650" s="151"/>
      <c r="G650" s="151"/>
    </row>
    <row r="651">
      <c r="A651" s="151"/>
      <c r="G651" s="151"/>
    </row>
    <row r="652">
      <c r="A652" s="151"/>
      <c r="G652" s="151"/>
    </row>
    <row r="653">
      <c r="A653" s="151"/>
      <c r="G653" s="151"/>
    </row>
    <row r="654">
      <c r="A654" s="151"/>
      <c r="G654" s="151"/>
    </row>
    <row r="655">
      <c r="A655" s="151"/>
      <c r="G655" s="151"/>
    </row>
    <row r="656">
      <c r="A656" s="151"/>
      <c r="G656" s="151"/>
    </row>
    <row r="657">
      <c r="A657" s="151"/>
      <c r="G657" s="151"/>
    </row>
    <row r="658">
      <c r="A658" s="151"/>
      <c r="G658" s="151"/>
    </row>
    <row r="659">
      <c r="A659" s="151"/>
      <c r="G659" s="151"/>
    </row>
    <row r="660">
      <c r="A660" s="151"/>
      <c r="G660" s="151"/>
    </row>
    <row r="661">
      <c r="A661" s="151"/>
      <c r="G661" s="151"/>
    </row>
    <row r="662">
      <c r="A662" s="151"/>
      <c r="G662" s="151"/>
    </row>
    <row r="663">
      <c r="A663" s="151"/>
      <c r="G663" s="151"/>
    </row>
    <row r="664">
      <c r="A664" s="151"/>
      <c r="G664" s="151"/>
    </row>
    <row r="665">
      <c r="A665" s="151"/>
      <c r="G665" s="151"/>
    </row>
    <row r="666">
      <c r="A666" s="151"/>
      <c r="G666" s="151"/>
    </row>
    <row r="667">
      <c r="A667" s="151"/>
      <c r="G667" s="151"/>
    </row>
    <row r="668">
      <c r="A668" s="151"/>
      <c r="G668" s="151"/>
    </row>
    <row r="669">
      <c r="A669" s="151"/>
      <c r="G669" s="151"/>
    </row>
    <row r="670">
      <c r="A670" s="151"/>
      <c r="G670" s="151"/>
    </row>
    <row r="671">
      <c r="A671" s="151"/>
      <c r="G671" s="151"/>
    </row>
    <row r="672">
      <c r="A672" s="151"/>
      <c r="G672" s="151"/>
    </row>
    <row r="673">
      <c r="A673" s="151"/>
      <c r="G673" s="151"/>
    </row>
    <row r="674">
      <c r="A674" s="151"/>
      <c r="G674" s="151"/>
    </row>
    <row r="675">
      <c r="A675" s="151"/>
      <c r="G675" s="151"/>
    </row>
    <row r="676">
      <c r="A676" s="151"/>
      <c r="G676" s="151"/>
    </row>
    <row r="677">
      <c r="A677" s="151"/>
      <c r="G677" s="151"/>
    </row>
    <row r="678">
      <c r="A678" s="151"/>
      <c r="G678" s="151"/>
    </row>
    <row r="679">
      <c r="A679" s="151"/>
      <c r="G679" s="151"/>
    </row>
    <row r="680">
      <c r="A680" s="151"/>
      <c r="G680" s="151"/>
    </row>
    <row r="681">
      <c r="A681" s="151"/>
      <c r="G681" s="151"/>
    </row>
    <row r="682">
      <c r="A682" s="151"/>
      <c r="G682" s="151"/>
    </row>
    <row r="683">
      <c r="A683" s="151"/>
      <c r="G683" s="151"/>
    </row>
    <row r="684">
      <c r="A684" s="151"/>
      <c r="G684" s="151"/>
    </row>
    <row r="685">
      <c r="A685" s="151"/>
      <c r="G685" s="151"/>
    </row>
    <row r="686">
      <c r="A686" s="151"/>
      <c r="G686" s="151"/>
    </row>
    <row r="687">
      <c r="A687" s="151"/>
      <c r="G687" s="151"/>
    </row>
    <row r="688">
      <c r="A688" s="151"/>
      <c r="G688" s="151"/>
    </row>
    <row r="689">
      <c r="A689" s="151"/>
      <c r="G689" s="151"/>
    </row>
    <row r="690">
      <c r="A690" s="151"/>
      <c r="G690" s="151"/>
    </row>
    <row r="691">
      <c r="A691" s="151"/>
      <c r="G691" s="151"/>
    </row>
    <row r="692">
      <c r="A692" s="151"/>
      <c r="G692" s="151"/>
    </row>
    <row r="693">
      <c r="A693" s="151"/>
      <c r="G693" s="151"/>
    </row>
    <row r="694">
      <c r="A694" s="151"/>
      <c r="G694" s="151"/>
    </row>
    <row r="695">
      <c r="A695" s="151"/>
      <c r="G695" s="151"/>
    </row>
    <row r="696">
      <c r="A696" s="151"/>
      <c r="G696" s="151"/>
    </row>
    <row r="697">
      <c r="A697" s="151"/>
      <c r="G697" s="151"/>
    </row>
    <row r="698">
      <c r="A698" s="151"/>
      <c r="G698" s="151"/>
    </row>
    <row r="699">
      <c r="A699" s="151"/>
      <c r="G699" s="151"/>
    </row>
    <row r="700">
      <c r="A700" s="151"/>
      <c r="G700" s="151"/>
    </row>
    <row r="701">
      <c r="A701" s="151"/>
      <c r="G701" s="151"/>
    </row>
    <row r="702">
      <c r="A702" s="151"/>
      <c r="G702" s="151"/>
    </row>
    <row r="703">
      <c r="A703" s="151"/>
      <c r="G703" s="151"/>
    </row>
    <row r="704">
      <c r="A704" s="151"/>
      <c r="G704" s="151"/>
    </row>
    <row r="705">
      <c r="A705" s="151"/>
      <c r="G705" s="151"/>
    </row>
    <row r="706">
      <c r="A706" s="151"/>
      <c r="G706" s="151"/>
    </row>
    <row r="707">
      <c r="A707" s="151"/>
      <c r="G707" s="151"/>
    </row>
    <row r="708">
      <c r="A708" s="151"/>
      <c r="G708" s="151"/>
    </row>
    <row r="709">
      <c r="A709" s="151"/>
      <c r="G709" s="151"/>
    </row>
    <row r="710">
      <c r="A710" s="151"/>
      <c r="G710" s="151"/>
    </row>
    <row r="711">
      <c r="A711" s="151"/>
      <c r="G711" s="151"/>
    </row>
    <row r="712">
      <c r="A712" s="151"/>
      <c r="G712" s="151"/>
    </row>
    <row r="713">
      <c r="A713" s="151"/>
      <c r="G713" s="151"/>
    </row>
    <row r="714">
      <c r="A714" s="151"/>
      <c r="G714" s="151"/>
    </row>
    <row r="715">
      <c r="A715" s="151"/>
      <c r="G715" s="151"/>
    </row>
    <row r="716">
      <c r="A716" s="151"/>
      <c r="G716" s="151"/>
    </row>
    <row r="717">
      <c r="A717" s="151"/>
      <c r="G717" s="151"/>
    </row>
    <row r="718">
      <c r="A718" s="151"/>
      <c r="G718" s="151"/>
    </row>
    <row r="719">
      <c r="A719" s="151"/>
      <c r="G719" s="151"/>
    </row>
    <row r="720">
      <c r="A720" s="151"/>
      <c r="G720" s="151"/>
    </row>
    <row r="721">
      <c r="A721" s="151"/>
      <c r="G721" s="151"/>
    </row>
    <row r="722">
      <c r="A722" s="151"/>
      <c r="G722" s="151"/>
    </row>
    <row r="723">
      <c r="A723" s="151"/>
      <c r="G723" s="151"/>
    </row>
    <row r="724">
      <c r="A724" s="151"/>
      <c r="G724" s="151"/>
    </row>
    <row r="725">
      <c r="A725" s="151"/>
      <c r="G725" s="151"/>
    </row>
    <row r="726">
      <c r="A726" s="151"/>
      <c r="G726" s="151"/>
    </row>
    <row r="727">
      <c r="A727" s="151"/>
      <c r="G727" s="151"/>
    </row>
    <row r="728">
      <c r="A728" s="151"/>
      <c r="G728" s="151"/>
    </row>
    <row r="729">
      <c r="A729" s="151"/>
      <c r="G729" s="151"/>
    </row>
    <row r="730">
      <c r="A730" s="151"/>
      <c r="G730" s="151"/>
    </row>
    <row r="731">
      <c r="A731" s="151"/>
      <c r="G731" s="151"/>
    </row>
    <row r="732">
      <c r="A732" s="151"/>
      <c r="G732" s="151"/>
    </row>
    <row r="733">
      <c r="A733" s="151"/>
      <c r="G733" s="151"/>
    </row>
    <row r="734">
      <c r="A734" s="151"/>
      <c r="G734" s="151"/>
    </row>
    <row r="735">
      <c r="A735" s="151"/>
      <c r="G735" s="151"/>
    </row>
    <row r="736">
      <c r="A736" s="151"/>
      <c r="G736" s="151"/>
    </row>
    <row r="737">
      <c r="A737" s="151"/>
      <c r="G737" s="151"/>
    </row>
    <row r="738">
      <c r="A738" s="151"/>
      <c r="G738" s="151"/>
    </row>
    <row r="739">
      <c r="A739" s="151"/>
      <c r="G739" s="151"/>
    </row>
    <row r="740">
      <c r="A740" s="151"/>
      <c r="G740" s="151"/>
    </row>
    <row r="741">
      <c r="A741" s="151"/>
      <c r="G741" s="151"/>
    </row>
    <row r="742">
      <c r="A742" s="151"/>
      <c r="G742" s="151"/>
    </row>
    <row r="743">
      <c r="A743" s="151"/>
      <c r="G743" s="151"/>
    </row>
    <row r="744">
      <c r="A744" s="151"/>
      <c r="G744" s="151"/>
    </row>
    <row r="745">
      <c r="A745" s="151"/>
      <c r="G745" s="151"/>
    </row>
    <row r="746">
      <c r="A746" s="151"/>
      <c r="G746" s="151"/>
    </row>
    <row r="747">
      <c r="A747" s="151"/>
      <c r="G747" s="151"/>
    </row>
    <row r="748">
      <c r="A748" s="151"/>
      <c r="G748" s="151"/>
    </row>
    <row r="749">
      <c r="A749" s="151"/>
      <c r="G749" s="151"/>
    </row>
    <row r="750">
      <c r="A750" s="151"/>
      <c r="G750" s="151"/>
    </row>
    <row r="751">
      <c r="A751" s="151"/>
      <c r="G751" s="151"/>
    </row>
    <row r="752">
      <c r="A752" s="151"/>
      <c r="G752" s="151"/>
    </row>
    <row r="753">
      <c r="A753" s="151"/>
      <c r="G753" s="151"/>
    </row>
    <row r="754">
      <c r="A754" s="151"/>
      <c r="G754" s="151"/>
    </row>
    <row r="755">
      <c r="A755" s="151"/>
      <c r="G755" s="151"/>
    </row>
    <row r="756">
      <c r="A756" s="151"/>
      <c r="G756" s="151"/>
    </row>
    <row r="757">
      <c r="A757" s="151"/>
      <c r="G757" s="151"/>
    </row>
    <row r="758">
      <c r="A758" s="151"/>
      <c r="G758" s="151"/>
    </row>
    <row r="759">
      <c r="A759" s="151"/>
      <c r="G759" s="151"/>
    </row>
    <row r="760">
      <c r="A760" s="151"/>
      <c r="G760" s="151"/>
    </row>
    <row r="761">
      <c r="A761" s="151"/>
      <c r="G761" s="151"/>
    </row>
    <row r="762">
      <c r="A762" s="151"/>
      <c r="G762" s="151"/>
    </row>
    <row r="763">
      <c r="A763" s="151"/>
      <c r="G763" s="151"/>
    </row>
    <row r="764">
      <c r="A764" s="151"/>
      <c r="G764" s="151"/>
    </row>
    <row r="765">
      <c r="A765" s="151"/>
      <c r="G765" s="151"/>
    </row>
    <row r="766">
      <c r="A766" s="151"/>
      <c r="G766" s="151"/>
    </row>
    <row r="767">
      <c r="A767" s="151"/>
      <c r="G767" s="151"/>
    </row>
    <row r="768">
      <c r="A768" s="151"/>
      <c r="G768" s="151"/>
    </row>
    <row r="769">
      <c r="A769" s="151"/>
      <c r="G769" s="151"/>
    </row>
    <row r="770">
      <c r="A770" s="151"/>
      <c r="G770" s="151"/>
    </row>
    <row r="771">
      <c r="A771" s="151"/>
      <c r="G771" s="151"/>
    </row>
    <row r="772">
      <c r="A772" s="151"/>
      <c r="G772" s="151"/>
    </row>
    <row r="773">
      <c r="A773" s="151"/>
      <c r="G773" s="151"/>
    </row>
    <row r="774">
      <c r="A774" s="151"/>
      <c r="G774" s="151"/>
    </row>
    <row r="775">
      <c r="A775" s="151"/>
      <c r="G775" s="151"/>
    </row>
    <row r="776">
      <c r="A776" s="151"/>
      <c r="G776" s="151"/>
    </row>
    <row r="777">
      <c r="A777" s="151"/>
      <c r="G777" s="151"/>
    </row>
    <row r="778">
      <c r="A778" s="151"/>
      <c r="G778" s="151"/>
    </row>
    <row r="779">
      <c r="A779" s="151"/>
      <c r="G779" s="151"/>
    </row>
    <row r="780">
      <c r="A780" s="151"/>
      <c r="G780" s="151"/>
    </row>
    <row r="781">
      <c r="A781" s="151"/>
      <c r="G781" s="151"/>
    </row>
    <row r="782">
      <c r="A782" s="151"/>
      <c r="G782" s="151"/>
    </row>
    <row r="783">
      <c r="A783" s="151"/>
      <c r="G783" s="151"/>
    </row>
    <row r="784">
      <c r="A784" s="151"/>
      <c r="G784" s="151"/>
    </row>
    <row r="785">
      <c r="A785" s="151"/>
      <c r="G785" s="151"/>
    </row>
    <row r="786">
      <c r="A786" s="151"/>
      <c r="G786" s="151"/>
    </row>
    <row r="787">
      <c r="A787" s="151"/>
      <c r="G787" s="151"/>
    </row>
    <row r="788">
      <c r="A788" s="151"/>
      <c r="G788" s="151"/>
    </row>
    <row r="789">
      <c r="A789" s="151"/>
      <c r="G789" s="151"/>
    </row>
    <row r="790">
      <c r="A790" s="151"/>
      <c r="G790" s="151"/>
    </row>
    <row r="791">
      <c r="A791" s="151"/>
      <c r="G791" s="151"/>
    </row>
    <row r="792">
      <c r="A792" s="151"/>
      <c r="G792" s="151"/>
    </row>
    <row r="793">
      <c r="A793" s="151"/>
      <c r="G793" s="151"/>
    </row>
    <row r="794">
      <c r="A794" s="151"/>
      <c r="G794" s="151"/>
    </row>
    <row r="795">
      <c r="A795" s="151"/>
      <c r="G795" s="151"/>
    </row>
    <row r="796">
      <c r="A796" s="151"/>
      <c r="G796" s="151"/>
    </row>
    <row r="797">
      <c r="A797" s="151"/>
      <c r="G797" s="151"/>
    </row>
    <row r="798">
      <c r="A798" s="151"/>
      <c r="G798" s="151"/>
    </row>
    <row r="799">
      <c r="A799" s="151"/>
      <c r="G799" s="151"/>
    </row>
    <row r="800">
      <c r="A800" s="151"/>
      <c r="G800" s="151"/>
    </row>
    <row r="801">
      <c r="A801" s="151"/>
      <c r="G801" s="151"/>
    </row>
    <row r="802">
      <c r="A802" s="151"/>
      <c r="G802" s="151"/>
    </row>
    <row r="803">
      <c r="A803" s="151"/>
      <c r="G803" s="151"/>
    </row>
    <row r="804">
      <c r="A804" s="151"/>
      <c r="G804" s="151"/>
    </row>
    <row r="805">
      <c r="A805" s="151"/>
      <c r="G805" s="151"/>
    </row>
    <row r="806">
      <c r="A806" s="151"/>
      <c r="G806" s="151"/>
    </row>
    <row r="807">
      <c r="A807" s="151"/>
      <c r="G807" s="151"/>
    </row>
    <row r="808">
      <c r="A808" s="151"/>
      <c r="G808" s="151"/>
    </row>
    <row r="809">
      <c r="A809" s="151"/>
      <c r="G809" s="151"/>
    </row>
    <row r="810">
      <c r="A810" s="151"/>
      <c r="G810" s="151"/>
    </row>
    <row r="811">
      <c r="A811" s="151"/>
      <c r="G811" s="151"/>
    </row>
    <row r="812">
      <c r="A812" s="151"/>
      <c r="G812" s="151"/>
    </row>
    <row r="813">
      <c r="A813" s="151"/>
      <c r="G813" s="151"/>
    </row>
    <row r="814">
      <c r="A814" s="151"/>
      <c r="G814" s="151"/>
    </row>
    <row r="815">
      <c r="A815" s="151"/>
      <c r="G815" s="151"/>
    </row>
    <row r="816">
      <c r="A816" s="151"/>
      <c r="G816" s="151"/>
    </row>
    <row r="817">
      <c r="A817" s="151"/>
      <c r="G817" s="151"/>
    </row>
    <row r="818">
      <c r="A818" s="151"/>
      <c r="G818" s="151"/>
    </row>
    <row r="819">
      <c r="A819" s="151"/>
      <c r="G819" s="151"/>
    </row>
    <row r="820">
      <c r="A820" s="151"/>
      <c r="G820" s="151"/>
    </row>
    <row r="821">
      <c r="A821" s="151"/>
      <c r="G821" s="151"/>
    </row>
    <row r="822">
      <c r="A822" s="151"/>
      <c r="G822" s="151"/>
    </row>
    <row r="823">
      <c r="A823" s="151"/>
      <c r="G823" s="151"/>
    </row>
    <row r="824">
      <c r="A824" s="151"/>
      <c r="G824" s="151"/>
    </row>
    <row r="825">
      <c r="A825" s="151"/>
      <c r="G825" s="151"/>
    </row>
    <row r="826">
      <c r="A826" s="151"/>
      <c r="G826" s="151"/>
    </row>
    <row r="827">
      <c r="A827" s="151"/>
      <c r="G827" s="151"/>
    </row>
    <row r="828">
      <c r="A828" s="151"/>
      <c r="G828" s="151"/>
    </row>
    <row r="829">
      <c r="A829" s="151"/>
      <c r="G829" s="151"/>
    </row>
    <row r="830">
      <c r="A830" s="151"/>
      <c r="G830" s="151"/>
    </row>
    <row r="831">
      <c r="A831" s="151"/>
      <c r="G831" s="151"/>
    </row>
    <row r="832">
      <c r="A832" s="151"/>
      <c r="G832" s="151"/>
    </row>
    <row r="833">
      <c r="A833" s="151"/>
      <c r="G833" s="151"/>
    </row>
    <row r="834">
      <c r="A834" s="151"/>
      <c r="G834" s="151"/>
    </row>
    <row r="835">
      <c r="A835" s="151"/>
      <c r="G835" s="151"/>
    </row>
    <row r="836">
      <c r="A836" s="151"/>
      <c r="G836" s="151"/>
    </row>
    <row r="837">
      <c r="A837" s="151"/>
      <c r="G837" s="151"/>
    </row>
    <row r="838">
      <c r="A838" s="151"/>
      <c r="G838" s="151"/>
    </row>
    <row r="839">
      <c r="A839" s="151"/>
      <c r="G839" s="151"/>
    </row>
    <row r="840">
      <c r="A840" s="151"/>
      <c r="G840" s="151"/>
    </row>
    <row r="841">
      <c r="A841" s="151"/>
      <c r="G841" s="151"/>
    </row>
    <row r="842">
      <c r="A842" s="151"/>
      <c r="G842" s="151"/>
    </row>
    <row r="843">
      <c r="A843" s="151"/>
      <c r="G843" s="151"/>
    </row>
    <row r="844">
      <c r="A844" s="151"/>
      <c r="G844" s="151"/>
    </row>
    <row r="845">
      <c r="A845" s="151"/>
      <c r="G845" s="151"/>
    </row>
    <row r="846">
      <c r="A846" s="151"/>
      <c r="G846" s="151"/>
    </row>
    <row r="847">
      <c r="A847" s="151"/>
      <c r="G847" s="151"/>
    </row>
    <row r="848">
      <c r="A848" s="151"/>
      <c r="G848" s="151"/>
    </row>
    <row r="849">
      <c r="A849" s="151"/>
      <c r="G849" s="151"/>
    </row>
    <row r="850">
      <c r="A850" s="151"/>
      <c r="G850" s="151"/>
    </row>
    <row r="851">
      <c r="A851" s="151"/>
      <c r="G851" s="151"/>
    </row>
    <row r="852">
      <c r="A852" s="151"/>
      <c r="G852" s="151"/>
    </row>
    <row r="853">
      <c r="A853" s="151"/>
      <c r="G853" s="151"/>
    </row>
    <row r="854">
      <c r="A854" s="151"/>
      <c r="G854" s="151"/>
    </row>
    <row r="855">
      <c r="A855" s="151"/>
      <c r="G855" s="151"/>
    </row>
    <row r="856">
      <c r="A856" s="151"/>
      <c r="G856" s="151"/>
    </row>
    <row r="857">
      <c r="A857" s="151"/>
      <c r="G857" s="151"/>
    </row>
    <row r="858">
      <c r="A858" s="151"/>
      <c r="G858" s="151"/>
    </row>
    <row r="859">
      <c r="A859" s="151"/>
      <c r="G859" s="151"/>
    </row>
    <row r="860">
      <c r="A860" s="151"/>
      <c r="G860" s="151"/>
    </row>
    <row r="861">
      <c r="A861" s="151"/>
      <c r="G861" s="151"/>
    </row>
    <row r="862">
      <c r="A862" s="151"/>
      <c r="G862" s="151"/>
    </row>
    <row r="863">
      <c r="A863" s="151"/>
      <c r="G863" s="151"/>
    </row>
    <row r="864">
      <c r="A864" s="151"/>
      <c r="G864" s="151"/>
    </row>
    <row r="865">
      <c r="A865" s="151"/>
      <c r="G865" s="151"/>
    </row>
    <row r="866">
      <c r="A866" s="151"/>
      <c r="G866" s="151"/>
    </row>
    <row r="867">
      <c r="A867" s="151"/>
      <c r="G867" s="151"/>
    </row>
    <row r="868">
      <c r="A868" s="151"/>
      <c r="G868" s="151"/>
    </row>
    <row r="869">
      <c r="A869" s="151"/>
      <c r="G869" s="151"/>
    </row>
    <row r="870">
      <c r="A870" s="151"/>
      <c r="G870" s="151"/>
    </row>
    <row r="871">
      <c r="A871" s="151"/>
      <c r="G871" s="151"/>
    </row>
    <row r="872">
      <c r="A872" s="151"/>
      <c r="G872" s="151"/>
    </row>
    <row r="873">
      <c r="A873" s="151"/>
      <c r="G873" s="151"/>
    </row>
    <row r="874">
      <c r="A874" s="151"/>
      <c r="G874" s="151"/>
    </row>
    <row r="875">
      <c r="A875" s="151"/>
      <c r="G875" s="151"/>
    </row>
    <row r="876">
      <c r="A876" s="151"/>
      <c r="G876" s="151"/>
    </row>
    <row r="877">
      <c r="A877" s="151"/>
      <c r="G877" s="151"/>
    </row>
    <row r="878">
      <c r="A878" s="151"/>
      <c r="G878" s="151"/>
    </row>
    <row r="879">
      <c r="A879" s="151"/>
      <c r="G879" s="151"/>
    </row>
    <row r="880">
      <c r="A880" s="151"/>
      <c r="G880" s="151"/>
    </row>
    <row r="881">
      <c r="A881" s="151"/>
      <c r="G881" s="151"/>
    </row>
    <row r="882">
      <c r="A882" s="151"/>
      <c r="G882" s="151"/>
    </row>
    <row r="883">
      <c r="A883" s="151"/>
      <c r="G883" s="151"/>
    </row>
    <row r="884">
      <c r="A884" s="151"/>
      <c r="G884" s="151"/>
    </row>
    <row r="885">
      <c r="A885" s="151"/>
      <c r="G885" s="151"/>
    </row>
    <row r="886">
      <c r="A886" s="151"/>
      <c r="G886" s="151"/>
    </row>
    <row r="887">
      <c r="A887" s="151"/>
      <c r="G887" s="151"/>
    </row>
    <row r="888">
      <c r="A888" s="151"/>
      <c r="G888" s="151"/>
    </row>
    <row r="889">
      <c r="A889" s="151"/>
      <c r="G889" s="151"/>
    </row>
    <row r="890">
      <c r="A890" s="151"/>
      <c r="G890" s="151"/>
    </row>
    <row r="891">
      <c r="A891" s="151"/>
      <c r="G891" s="151"/>
    </row>
    <row r="892">
      <c r="A892" s="151"/>
      <c r="G892" s="151"/>
    </row>
    <row r="893">
      <c r="A893" s="151"/>
      <c r="G893" s="151"/>
    </row>
    <row r="894">
      <c r="A894" s="151"/>
      <c r="G894" s="151"/>
    </row>
    <row r="895">
      <c r="A895" s="151"/>
      <c r="G895" s="151"/>
    </row>
    <row r="896">
      <c r="A896" s="151"/>
      <c r="G896" s="151"/>
    </row>
    <row r="897">
      <c r="A897" s="151"/>
      <c r="G897" s="151"/>
    </row>
    <row r="898">
      <c r="A898" s="151"/>
      <c r="G898" s="151"/>
    </row>
    <row r="899">
      <c r="A899" s="151"/>
      <c r="G899" s="151"/>
    </row>
    <row r="900">
      <c r="A900" s="151"/>
      <c r="G900" s="151"/>
    </row>
    <row r="901">
      <c r="A901" s="151"/>
      <c r="G901" s="151"/>
    </row>
    <row r="902">
      <c r="A902" s="151"/>
      <c r="G902" s="151"/>
    </row>
    <row r="903">
      <c r="A903" s="151"/>
      <c r="G903" s="151"/>
    </row>
    <row r="904">
      <c r="A904" s="151"/>
      <c r="G904" s="151"/>
    </row>
    <row r="905">
      <c r="A905" s="151"/>
      <c r="G905" s="151"/>
    </row>
    <row r="906">
      <c r="A906" s="151"/>
      <c r="G906" s="151"/>
    </row>
    <row r="907">
      <c r="A907" s="151"/>
      <c r="G907" s="151"/>
    </row>
    <row r="908">
      <c r="A908" s="151"/>
      <c r="G908" s="151"/>
    </row>
    <row r="909">
      <c r="A909" s="151"/>
      <c r="G909" s="151"/>
    </row>
    <row r="910">
      <c r="A910" s="151"/>
      <c r="G910" s="151"/>
    </row>
    <row r="911">
      <c r="A911" s="151"/>
      <c r="G911" s="151"/>
    </row>
    <row r="912">
      <c r="A912" s="151"/>
      <c r="G912" s="151"/>
    </row>
    <row r="913">
      <c r="A913" s="151"/>
      <c r="G913" s="151"/>
    </row>
    <row r="914">
      <c r="A914" s="151"/>
      <c r="G914" s="151"/>
    </row>
    <row r="915">
      <c r="A915" s="151"/>
      <c r="G915" s="151"/>
    </row>
    <row r="916">
      <c r="A916" s="151"/>
      <c r="G916" s="151"/>
    </row>
    <row r="917">
      <c r="A917" s="151"/>
      <c r="G917" s="151"/>
    </row>
    <row r="918">
      <c r="A918" s="151"/>
      <c r="G918" s="151"/>
    </row>
    <row r="919">
      <c r="A919" s="151"/>
      <c r="G919" s="151"/>
    </row>
    <row r="920">
      <c r="A920" s="151"/>
      <c r="G920" s="151"/>
    </row>
    <row r="921">
      <c r="A921" s="151"/>
      <c r="G921" s="151"/>
    </row>
    <row r="922">
      <c r="A922" s="151"/>
      <c r="G922" s="151"/>
    </row>
    <row r="923">
      <c r="A923" s="151"/>
      <c r="G923" s="151"/>
    </row>
    <row r="924">
      <c r="A924" s="151"/>
      <c r="G924" s="151"/>
    </row>
    <row r="925">
      <c r="A925" s="151"/>
      <c r="G925" s="151"/>
    </row>
    <row r="926">
      <c r="A926" s="151"/>
      <c r="G926" s="151"/>
    </row>
    <row r="927">
      <c r="A927" s="151"/>
      <c r="G927" s="151"/>
    </row>
    <row r="928">
      <c r="A928" s="151"/>
      <c r="G928" s="151"/>
    </row>
    <row r="929">
      <c r="A929" s="151"/>
      <c r="G929" s="151"/>
    </row>
    <row r="930">
      <c r="A930" s="151"/>
      <c r="G930" s="151"/>
    </row>
    <row r="931">
      <c r="A931" s="151"/>
      <c r="G931" s="151"/>
    </row>
    <row r="932">
      <c r="A932" s="151"/>
      <c r="G932" s="151"/>
    </row>
    <row r="933">
      <c r="A933" s="151"/>
      <c r="G933" s="151"/>
    </row>
    <row r="934">
      <c r="A934" s="151"/>
      <c r="G934" s="151"/>
    </row>
    <row r="935">
      <c r="A935" s="151"/>
      <c r="G935" s="151"/>
    </row>
    <row r="936">
      <c r="A936" s="151"/>
      <c r="G936" s="151"/>
    </row>
    <row r="937">
      <c r="A937" s="151"/>
      <c r="G937" s="151"/>
    </row>
    <row r="938">
      <c r="A938" s="151"/>
      <c r="G938" s="151"/>
    </row>
    <row r="939">
      <c r="A939" s="151"/>
      <c r="G939" s="151"/>
    </row>
    <row r="940">
      <c r="A940" s="151"/>
      <c r="G940" s="151"/>
    </row>
    <row r="941">
      <c r="A941" s="151"/>
      <c r="G941" s="151"/>
    </row>
    <row r="942">
      <c r="A942" s="151"/>
      <c r="G942" s="151"/>
    </row>
    <row r="943">
      <c r="A943" s="151"/>
      <c r="G943" s="151"/>
    </row>
    <row r="944">
      <c r="A944" s="151"/>
      <c r="G944" s="151"/>
    </row>
    <row r="945">
      <c r="A945" s="151"/>
      <c r="G945" s="151"/>
    </row>
    <row r="946">
      <c r="A946" s="151"/>
      <c r="G946" s="151"/>
    </row>
    <row r="947">
      <c r="A947" s="151"/>
      <c r="G947" s="151"/>
    </row>
    <row r="948">
      <c r="A948" s="151"/>
      <c r="G948" s="151"/>
    </row>
    <row r="949">
      <c r="A949" s="151"/>
      <c r="G949" s="151"/>
    </row>
    <row r="950">
      <c r="A950" s="151"/>
      <c r="G950" s="151"/>
    </row>
    <row r="951">
      <c r="A951" s="151"/>
      <c r="G951" s="151"/>
    </row>
    <row r="952">
      <c r="A952" s="151"/>
      <c r="G952" s="151"/>
    </row>
    <row r="953">
      <c r="A953" s="151"/>
      <c r="G953" s="151"/>
    </row>
    <row r="954">
      <c r="A954" s="151"/>
      <c r="G954" s="151"/>
    </row>
    <row r="955">
      <c r="A955" s="151"/>
      <c r="G955" s="151"/>
    </row>
    <row r="956">
      <c r="A956" s="151"/>
      <c r="G956" s="151"/>
    </row>
    <row r="957">
      <c r="A957" s="151"/>
      <c r="G957" s="151"/>
    </row>
    <row r="958">
      <c r="A958" s="151"/>
      <c r="G958" s="151"/>
    </row>
    <row r="959">
      <c r="A959" s="151"/>
      <c r="G959" s="151"/>
    </row>
    <row r="960">
      <c r="A960" s="151"/>
      <c r="G960" s="151"/>
    </row>
    <row r="961">
      <c r="A961" s="151"/>
      <c r="G961" s="151"/>
    </row>
    <row r="962">
      <c r="A962" s="151"/>
      <c r="G962" s="151"/>
    </row>
    <row r="963">
      <c r="A963" s="151"/>
      <c r="G963" s="151"/>
    </row>
    <row r="964">
      <c r="A964" s="151"/>
      <c r="G964" s="151"/>
    </row>
    <row r="965">
      <c r="A965" s="151"/>
      <c r="G965" s="151"/>
    </row>
    <row r="966">
      <c r="A966" s="151"/>
      <c r="G966" s="151"/>
    </row>
    <row r="967">
      <c r="A967" s="151"/>
      <c r="G967" s="151"/>
    </row>
    <row r="968">
      <c r="A968" s="151"/>
      <c r="G968" s="151"/>
    </row>
    <row r="969">
      <c r="A969" s="151"/>
      <c r="G969" s="151"/>
    </row>
    <row r="970">
      <c r="A970" s="151"/>
      <c r="G970" s="151"/>
    </row>
    <row r="971">
      <c r="A971" s="151"/>
      <c r="G971" s="151"/>
    </row>
    <row r="972">
      <c r="A972" s="151"/>
      <c r="G972" s="151"/>
    </row>
    <row r="973">
      <c r="A973" s="151"/>
      <c r="G973" s="151"/>
    </row>
    <row r="974">
      <c r="A974" s="151"/>
      <c r="G974" s="151"/>
    </row>
    <row r="975">
      <c r="A975" s="151"/>
      <c r="G975" s="151"/>
    </row>
    <row r="976">
      <c r="A976" s="151"/>
      <c r="G976" s="151"/>
    </row>
    <row r="977">
      <c r="A977" s="151"/>
      <c r="G977" s="151"/>
    </row>
    <row r="978">
      <c r="A978" s="151"/>
      <c r="G978" s="151"/>
    </row>
    <row r="979">
      <c r="A979" s="151"/>
      <c r="G979" s="151"/>
    </row>
    <row r="980">
      <c r="A980" s="151"/>
      <c r="G980" s="151"/>
    </row>
    <row r="981">
      <c r="A981" s="151"/>
      <c r="G981" s="151"/>
    </row>
    <row r="982">
      <c r="A982" s="151"/>
      <c r="G982" s="151"/>
    </row>
    <row r="983">
      <c r="A983" s="151"/>
      <c r="G983" s="151"/>
    </row>
    <row r="984">
      <c r="A984" s="151"/>
      <c r="G984" s="151"/>
    </row>
    <row r="985">
      <c r="A985" s="151"/>
      <c r="G985" s="151"/>
    </row>
    <row r="986">
      <c r="A986" s="151"/>
      <c r="G986" s="151"/>
    </row>
    <row r="987">
      <c r="A987" s="151"/>
      <c r="G987" s="151"/>
    </row>
    <row r="988">
      <c r="A988" s="151"/>
      <c r="G988" s="151"/>
    </row>
    <row r="989">
      <c r="A989" s="151"/>
      <c r="G989" s="151"/>
    </row>
    <row r="990">
      <c r="A990" s="151"/>
      <c r="G990" s="151"/>
    </row>
    <row r="991">
      <c r="A991" s="151"/>
      <c r="G991" s="151"/>
    </row>
    <row r="992">
      <c r="A992" s="151"/>
      <c r="G992" s="151"/>
    </row>
    <row r="993">
      <c r="A993" s="151"/>
      <c r="G993" s="151"/>
    </row>
    <row r="994">
      <c r="A994" s="151"/>
      <c r="G994" s="151"/>
    </row>
    <row r="995">
      <c r="A995" s="151"/>
      <c r="G995" s="151"/>
    </row>
    <row r="996">
      <c r="A996" s="151"/>
      <c r="G996" s="151"/>
    </row>
    <row r="997">
      <c r="A997" s="151"/>
      <c r="G997" s="151"/>
    </row>
    <row r="998">
      <c r="A998" s="151"/>
      <c r="G998" s="151"/>
    </row>
    <row r="999">
      <c r="A999" s="151"/>
      <c r="G999" s="151"/>
    </row>
    <row r="1000">
      <c r="A1000" s="151"/>
      <c r="G1000" s="151"/>
    </row>
    <row r="1001">
      <c r="A1001" s="151"/>
      <c r="G1001" s="151"/>
    </row>
    <row r="1002">
      <c r="A1002" s="151"/>
      <c r="G1002" s="151"/>
    </row>
    <row r="1003">
      <c r="A1003" s="151"/>
      <c r="G1003" s="151"/>
    </row>
  </sheetData>
  <dataValidations>
    <dataValidation type="list" allowBlank="1" showErrorMessage="1" sqref="F2:F15">
      <formula1>para!$A$2:$A$8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4" width="19.88"/>
    <col customWidth="1" min="5" max="5" width="12.75"/>
    <col customWidth="1" min="6" max="7" width="19.88"/>
    <col customWidth="1" min="8" max="8" width="24.75"/>
    <col customWidth="1" min="9" max="27" width="19.88"/>
  </cols>
  <sheetData>
    <row r="1" ht="15.75" customHeight="1">
      <c r="A1" s="1"/>
      <c r="B1" s="7" t="s">
        <v>1</v>
      </c>
      <c r="C1" s="7" t="s">
        <v>3</v>
      </c>
      <c r="D1" s="7"/>
      <c r="E1" s="15" t="s">
        <v>533</v>
      </c>
      <c r="F1" s="15" t="s">
        <v>8</v>
      </c>
      <c r="G1" s="17" t="s">
        <v>9</v>
      </c>
      <c r="H1" s="3" t="s">
        <v>15</v>
      </c>
      <c r="I1" s="3" t="s">
        <v>19</v>
      </c>
      <c r="J1" s="19" t="s">
        <v>17</v>
      </c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</row>
    <row r="2" ht="15.75" customHeight="1">
      <c r="A2" s="1">
        <v>1.0</v>
      </c>
      <c r="B2" s="193" t="s">
        <v>31</v>
      </c>
      <c r="C2" s="50" t="s">
        <v>207</v>
      </c>
      <c r="D2" s="229"/>
      <c r="E2" s="98" t="s">
        <v>45</v>
      </c>
      <c r="F2" s="16" t="s">
        <v>534</v>
      </c>
      <c r="G2" s="20" t="s">
        <v>79</v>
      </c>
      <c r="H2" s="16"/>
      <c r="I2" s="35"/>
      <c r="J2" s="196" t="s">
        <v>535</v>
      </c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 ht="15.75" customHeight="1">
      <c r="A3" s="1">
        <v>2.0</v>
      </c>
      <c r="B3" s="193" t="s">
        <v>31</v>
      </c>
      <c r="C3" s="230" t="s">
        <v>536</v>
      </c>
      <c r="D3" s="231"/>
      <c r="E3" s="98" t="s">
        <v>45</v>
      </c>
      <c r="F3" s="39" t="s">
        <v>73</v>
      </c>
      <c r="G3" s="20" t="s">
        <v>122</v>
      </c>
      <c r="H3" s="16"/>
      <c r="I3" s="35"/>
      <c r="J3" s="54" t="s">
        <v>537</v>
      </c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</row>
    <row r="4" ht="15.75" customHeight="1">
      <c r="A4" s="1">
        <v>3.0</v>
      </c>
      <c r="B4" s="193" t="s">
        <v>31</v>
      </c>
      <c r="C4" s="232" t="s">
        <v>209</v>
      </c>
      <c r="D4" s="231"/>
      <c r="E4" s="98" t="s">
        <v>45</v>
      </c>
      <c r="F4" s="16" t="s">
        <v>534</v>
      </c>
      <c r="G4" s="20" t="s">
        <v>79</v>
      </c>
      <c r="H4" s="16"/>
      <c r="I4" s="35"/>
      <c r="J4" s="196" t="s">
        <v>538</v>
      </c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</row>
    <row r="5" ht="15.75" customHeight="1">
      <c r="A5" s="1">
        <v>4.0</v>
      </c>
      <c r="B5" s="193" t="s">
        <v>31</v>
      </c>
      <c r="C5" s="232" t="s">
        <v>212</v>
      </c>
      <c r="D5" s="231"/>
      <c r="E5" s="98"/>
      <c r="F5" s="16" t="s">
        <v>534</v>
      </c>
      <c r="G5" s="20" t="s">
        <v>79</v>
      </c>
      <c r="H5" s="16"/>
      <c r="I5" s="35"/>
      <c r="J5" s="196" t="s">
        <v>539</v>
      </c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</row>
    <row r="6" ht="15.75" customHeight="1">
      <c r="A6" s="1">
        <v>5.0</v>
      </c>
      <c r="B6" s="193" t="s">
        <v>31</v>
      </c>
      <c r="C6" s="232" t="s">
        <v>214</v>
      </c>
      <c r="D6" s="231"/>
      <c r="E6" s="98"/>
      <c r="F6" s="16" t="s">
        <v>534</v>
      </c>
      <c r="G6" s="20" t="s">
        <v>79</v>
      </c>
      <c r="H6" s="16"/>
      <c r="I6" s="35"/>
      <c r="J6" s="196" t="s">
        <v>540</v>
      </c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</row>
    <row r="7" ht="15.75" customHeight="1">
      <c r="A7" s="1">
        <v>6.0</v>
      </c>
      <c r="B7" s="193" t="s">
        <v>31</v>
      </c>
      <c r="C7" s="232" t="s">
        <v>217</v>
      </c>
      <c r="D7" s="231"/>
      <c r="E7" s="98"/>
      <c r="F7" s="16" t="s">
        <v>534</v>
      </c>
      <c r="G7" s="20" t="s">
        <v>79</v>
      </c>
      <c r="H7" s="16"/>
      <c r="I7" s="35"/>
      <c r="J7" s="196" t="s">
        <v>541</v>
      </c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</row>
    <row r="8" ht="15.75" customHeight="1">
      <c r="A8" s="1">
        <v>7.0</v>
      </c>
      <c r="B8" s="193" t="s">
        <v>31</v>
      </c>
      <c r="C8" s="230" t="s">
        <v>542</v>
      </c>
      <c r="D8" s="231"/>
      <c r="E8" s="98" t="s">
        <v>45</v>
      </c>
      <c r="F8" s="16" t="s">
        <v>73</v>
      </c>
      <c r="G8" s="20" t="s">
        <v>122</v>
      </c>
      <c r="H8" s="16"/>
      <c r="I8" s="35"/>
      <c r="J8" s="54" t="s">
        <v>543</v>
      </c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</row>
    <row r="9" ht="15.75" customHeight="1">
      <c r="A9" s="1">
        <v>8.0</v>
      </c>
      <c r="B9" s="50" t="s">
        <v>31</v>
      </c>
      <c r="C9" s="232" t="s">
        <v>218</v>
      </c>
      <c r="D9" s="231"/>
      <c r="E9" s="98" t="s">
        <v>45</v>
      </c>
      <c r="F9" s="16" t="s">
        <v>534</v>
      </c>
      <c r="G9" s="20" t="s">
        <v>79</v>
      </c>
      <c r="H9" s="16"/>
      <c r="I9" s="35"/>
      <c r="J9" s="196" t="s">
        <v>544</v>
      </c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</row>
    <row r="10" ht="15.75" customHeight="1">
      <c r="A10" s="1">
        <v>9.0</v>
      </c>
      <c r="B10" s="50" t="s">
        <v>31</v>
      </c>
      <c r="C10" s="232" t="s">
        <v>221</v>
      </c>
      <c r="D10" s="231"/>
      <c r="E10" s="98" t="s">
        <v>45</v>
      </c>
      <c r="F10" s="16" t="s">
        <v>534</v>
      </c>
      <c r="G10" s="20" t="s">
        <v>79</v>
      </c>
      <c r="H10" s="16"/>
      <c r="I10" s="16"/>
      <c r="J10" s="196" t="s">
        <v>545</v>
      </c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</row>
    <row r="11" ht="15.75" customHeight="1">
      <c r="A11" s="1">
        <v>10.0</v>
      </c>
      <c r="B11" s="50" t="s">
        <v>31</v>
      </c>
      <c r="C11" s="232" t="s">
        <v>223</v>
      </c>
      <c r="D11" s="231"/>
      <c r="E11" s="98" t="s">
        <v>45</v>
      </c>
      <c r="F11" s="16" t="s">
        <v>534</v>
      </c>
      <c r="G11" s="20" t="s">
        <v>79</v>
      </c>
      <c r="H11" s="16"/>
      <c r="I11" s="53"/>
      <c r="J11" s="196" t="s">
        <v>546</v>
      </c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</row>
    <row r="12" ht="15.75" customHeight="1">
      <c r="A12" s="1">
        <v>11.0</v>
      </c>
      <c r="B12" s="50" t="s">
        <v>31</v>
      </c>
      <c r="C12" s="233" t="s">
        <v>225</v>
      </c>
      <c r="D12" s="232"/>
      <c r="E12" s="16"/>
      <c r="F12" s="16" t="s">
        <v>534</v>
      </c>
      <c r="G12" s="20" t="s">
        <v>79</v>
      </c>
      <c r="H12" s="16"/>
      <c r="I12" s="16"/>
      <c r="J12" s="232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</row>
    <row r="13" ht="15.75" customHeight="1">
      <c r="A13" s="1">
        <v>12.0</v>
      </c>
      <c r="B13" s="50" t="s">
        <v>31</v>
      </c>
      <c r="C13" s="233" t="s">
        <v>228</v>
      </c>
      <c r="D13" s="232"/>
      <c r="E13" s="16"/>
      <c r="F13" s="16" t="s">
        <v>534</v>
      </c>
      <c r="G13" s="20" t="s">
        <v>79</v>
      </c>
      <c r="H13" s="16"/>
      <c r="I13" s="16"/>
      <c r="J13" s="232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</row>
    <row r="14" ht="15.75" customHeight="1">
      <c r="A14" s="1">
        <v>13.0</v>
      </c>
      <c r="B14" s="50" t="s">
        <v>31</v>
      </c>
      <c r="C14" s="233" t="s">
        <v>231</v>
      </c>
      <c r="D14" s="232"/>
      <c r="E14" s="16"/>
      <c r="F14" s="16" t="s">
        <v>534</v>
      </c>
      <c r="G14" s="20" t="s">
        <v>79</v>
      </c>
      <c r="H14" s="16"/>
      <c r="I14" s="16"/>
      <c r="J14" s="232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</row>
    <row r="15" ht="15.75" customHeight="1">
      <c r="A15" s="1">
        <v>14.0</v>
      </c>
      <c r="B15" s="50" t="s">
        <v>31</v>
      </c>
      <c r="C15" s="233" t="s">
        <v>232</v>
      </c>
      <c r="D15" s="232"/>
      <c r="E15" s="16"/>
      <c r="F15" s="16" t="s">
        <v>534</v>
      </c>
      <c r="G15" s="20" t="s">
        <v>79</v>
      </c>
      <c r="H15" s="16"/>
      <c r="I15" s="16"/>
      <c r="J15" s="232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</row>
    <row r="16" ht="15.75" customHeight="1">
      <c r="A16" s="1">
        <v>15.0</v>
      </c>
      <c r="B16" s="50" t="s">
        <v>31</v>
      </c>
      <c r="C16" s="233" t="s">
        <v>233</v>
      </c>
      <c r="D16" s="232"/>
      <c r="E16" s="16"/>
      <c r="F16" s="16" t="s">
        <v>534</v>
      </c>
      <c r="G16" s="20" t="s">
        <v>79</v>
      </c>
      <c r="H16" s="16"/>
      <c r="I16" s="16"/>
      <c r="J16" s="232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</row>
    <row r="17" ht="15.75" customHeight="1">
      <c r="A17" s="1">
        <v>16.0</v>
      </c>
      <c r="B17" s="50" t="s">
        <v>31</v>
      </c>
      <c r="C17" s="233" t="s">
        <v>235</v>
      </c>
      <c r="D17" s="232"/>
      <c r="E17" s="16"/>
      <c r="F17" s="16" t="s">
        <v>534</v>
      </c>
      <c r="G17" s="20" t="s">
        <v>79</v>
      </c>
      <c r="H17" s="16"/>
      <c r="I17" s="16"/>
      <c r="J17" s="232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</row>
    <row r="18" ht="15.75" customHeight="1">
      <c r="A18" s="1">
        <v>17.0</v>
      </c>
      <c r="B18" s="50" t="s">
        <v>31</v>
      </c>
      <c r="C18" s="233" t="s">
        <v>237</v>
      </c>
      <c r="D18" s="232"/>
      <c r="E18" s="34" t="s">
        <v>45</v>
      </c>
      <c r="F18" s="34" t="s">
        <v>496</v>
      </c>
      <c r="G18" s="20" t="s">
        <v>79</v>
      </c>
      <c r="H18" s="16"/>
      <c r="I18" s="16"/>
      <c r="J18" s="232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</row>
    <row r="19" ht="15.75" customHeight="1">
      <c r="A19" s="39"/>
      <c r="B19" s="228"/>
      <c r="D19" s="228"/>
      <c r="E19" s="108" t="s">
        <v>261</v>
      </c>
      <c r="F19" s="112">
        <f>COUNTIF(G:G,"A*")</f>
        <v>0</v>
      </c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</row>
    <row r="20" ht="15.75" customHeight="1">
      <c r="A20" s="39"/>
      <c r="B20" s="228"/>
      <c r="C20" s="228"/>
      <c r="D20" s="228"/>
      <c r="E20" s="108" t="s">
        <v>269</v>
      </c>
      <c r="F20" s="112">
        <f>COUNTIF(G:G,"B*")</f>
        <v>0</v>
      </c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</row>
    <row r="21" ht="15.75" customHeight="1">
      <c r="A21" s="39"/>
      <c r="B21" s="228"/>
      <c r="C21" s="228"/>
      <c r="D21" s="228"/>
      <c r="E21" s="108" t="s">
        <v>274</v>
      </c>
      <c r="F21" s="112">
        <f>COUNTIF(G:G,"C*")</f>
        <v>0</v>
      </c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</row>
    <row r="22" ht="15.75" customHeight="1">
      <c r="A22" s="39"/>
      <c r="B22" s="228"/>
      <c r="C22" s="228"/>
      <c r="D22" s="228"/>
      <c r="E22" s="108" t="s">
        <v>278</v>
      </c>
      <c r="F22" s="112">
        <f>COUNTIF(G:G,"D*")</f>
        <v>0</v>
      </c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</row>
    <row r="23" ht="15.75" customHeight="1">
      <c r="A23" s="39"/>
      <c r="B23" s="228"/>
      <c r="C23" s="228"/>
      <c r="D23" s="228"/>
      <c r="E23" s="108" t="s">
        <v>79</v>
      </c>
      <c r="F23" s="112">
        <f>COUNTIF(G:G,"Random")</f>
        <v>15</v>
      </c>
      <c r="G23" s="234"/>
      <c r="H23" s="234"/>
      <c r="I23" s="234"/>
      <c r="J23" s="234"/>
      <c r="K23" s="234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</row>
    <row r="24" ht="15.75" customHeight="1">
      <c r="A24" s="39"/>
      <c r="B24" s="228"/>
      <c r="C24" s="228"/>
      <c r="D24" s="228"/>
      <c r="E24" s="108" t="s">
        <v>285</v>
      </c>
      <c r="F24" s="112">
        <f>COUNTIF(G:G,"嘉*")</f>
        <v>2</v>
      </c>
      <c r="G24" s="234"/>
      <c r="H24" s="234"/>
      <c r="I24" s="234"/>
      <c r="J24" s="234"/>
      <c r="K24" s="234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</row>
    <row r="25" ht="15.75" customHeight="1">
      <c r="A25" s="39"/>
      <c r="B25" s="228"/>
      <c r="C25" s="228"/>
      <c r="D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</row>
    <row r="26" ht="15.75" customHeight="1">
      <c r="A26" s="39"/>
      <c r="B26" s="228"/>
      <c r="C26" s="235" t="s">
        <v>547</v>
      </c>
      <c r="D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 ht="15.75" customHeight="1">
      <c r="A27" s="39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</row>
    <row r="28" ht="15.75" customHeight="1">
      <c r="A28" s="39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</row>
    <row r="29" ht="15.75" customHeight="1">
      <c r="A29" s="39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</row>
    <row r="30" ht="15.75" customHeight="1">
      <c r="A30" s="39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</row>
    <row r="31" ht="15.75" customHeight="1">
      <c r="A31" s="39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</row>
    <row r="32" ht="15.75" customHeight="1">
      <c r="A32" s="39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</row>
    <row r="33" ht="15.75" customHeight="1">
      <c r="A33" s="39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</row>
    <row r="34" ht="15.75" customHeight="1">
      <c r="A34" s="39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</row>
    <row r="35" ht="15.75" customHeight="1">
      <c r="A35" s="39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</row>
    <row r="36" ht="15.75" customHeight="1">
      <c r="A36" s="39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 ht="15.75" customHeight="1">
      <c r="A37" s="39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</row>
    <row r="38" ht="15.75" customHeight="1">
      <c r="A38" s="39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</row>
    <row r="39" ht="15.75" customHeight="1">
      <c r="A39" s="39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</row>
    <row r="40" ht="15.75" customHeight="1">
      <c r="A40" s="39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</row>
    <row r="41" ht="15.75" customHeight="1">
      <c r="A41" s="39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</row>
    <row r="42" ht="15.75" customHeight="1">
      <c r="A42" s="39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</row>
    <row r="43" ht="15.75" customHeight="1">
      <c r="A43" s="39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</row>
    <row r="44" ht="15.75" customHeight="1">
      <c r="A44" s="39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</row>
    <row r="45" ht="15.75" customHeight="1">
      <c r="A45" s="39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</row>
    <row r="46" ht="15.75" customHeight="1">
      <c r="A46" s="39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</row>
    <row r="47" ht="15.75" customHeight="1">
      <c r="A47" s="39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</row>
    <row r="48" ht="15.75" customHeight="1">
      <c r="A48" s="39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</row>
    <row r="49" ht="15.75" customHeight="1">
      <c r="A49" s="39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</row>
    <row r="50" ht="15.75" customHeight="1">
      <c r="A50" s="39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</row>
    <row r="51" ht="15.75" customHeight="1">
      <c r="A51" s="39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</row>
    <row r="52" ht="15.75" customHeight="1">
      <c r="A52" s="39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</row>
    <row r="53" ht="15.75" customHeight="1">
      <c r="A53" s="39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</row>
    <row r="54" ht="15.75" customHeight="1">
      <c r="A54" s="39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</row>
    <row r="55" ht="15.75" customHeight="1">
      <c r="A55" s="39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</row>
    <row r="56" ht="15.75" customHeight="1">
      <c r="A56" s="39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</row>
    <row r="57" ht="15.75" customHeight="1">
      <c r="A57" s="39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</row>
    <row r="58" ht="15.75" customHeight="1">
      <c r="A58" s="39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</row>
    <row r="59" ht="15.75" customHeight="1">
      <c r="A59" s="39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</row>
    <row r="60" ht="15.75" customHeight="1">
      <c r="A60" s="39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</row>
    <row r="61" ht="15.75" customHeight="1">
      <c r="A61" s="39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</row>
    <row r="62" ht="15.75" customHeight="1">
      <c r="A62" s="39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</row>
    <row r="63" ht="15.75" customHeight="1">
      <c r="A63" s="39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</row>
    <row r="64" ht="15.75" customHeight="1">
      <c r="A64" s="39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</row>
    <row r="65" ht="15.75" customHeight="1">
      <c r="A65" s="39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</row>
    <row r="66" ht="15.75" customHeight="1">
      <c r="A66" s="39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</row>
    <row r="67" ht="15.75" customHeight="1">
      <c r="A67" s="39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</row>
    <row r="68" ht="15.75" customHeight="1">
      <c r="A68" s="39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</row>
    <row r="69" ht="15.75" customHeight="1">
      <c r="A69" s="39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</row>
    <row r="70" ht="15.75" customHeight="1">
      <c r="A70" s="39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</row>
    <row r="71" ht="15.75" customHeight="1">
      <c r="A71" s="39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</row>
    <row r="72" ht="15.75" customHeight="1">
      <c r="A72" s="39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</row>
    <row r="73" ht="15.75" customHeight="1">
      <c r="A73" s="39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</row>
    <row r="74" ht="15.75" customHeight="1">
      <c r="A74" s="39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</row>
    <row r="75" ht="15.75" customHeight="1">
      <c r="A75" s="39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</row>
    <row r="76" ht="15.75" customHeight="1">
      <c r="A76" s="39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</row>
    <row r="77" ht="15.75" customHeight="1">
      <c r="A77" s="39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</row>
    <row r="78" ht="15.75" customHeight="1">
      <c r="A78" s="39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</row>
    <row r="79" ht="15.75" customHeight="1">
      <c r="A79" s="39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</row>
    <row r="80" ht="15.75" customHeight="1">
      <c r="A80" s="39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</row>
    <row r="81" ht="15.75" customHeight="1">
      <c r="A81" s="39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</row>
    <row r="82" ht="15.75" customHeight="1">
      <c r="A82" s="39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</row>
    <row r="83" ht="15.75" customHeight="1">
      <c r="A83" s="39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</row>
    <row r="84" ht="15.75" customHeight="1">
      <c r="A84" s="39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</row>
    <row r="85" ht="15.75" customHeight="1">
      <c r="A85" s="39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</row>
    <row r="86" ht="15.75" customHeight="1">
      <c r="A86" s="39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</row>
    <row r="87" ht="15.75" customHeight="1">
      <c r="A87" s="39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</row>
    <row r="88" ht="15.75" customHeight="1">
      <c r="A88" s="39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</row>
    <row r="89" ht="15.75" customHeight="1">
      <c r="A89" s="39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</row>
    <row r="90" ht="15.75" customHeight="1">
      <c r="A90" s="39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</row>
    <row r="91" ht="15.75" customHeight="1">
      <c r="A91" s="39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</row>
    <row r="92" ht="15.75" customHeight="1">
      <c r="A92" s="39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</row>
    <row r="93" ht="15.75" customHeight="1">
      <c r="A93" s="39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</row>
    <row r="94" ht="15.75" customHeight="1">
      <c r="A94" s="39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</row>
    <row r="95" ht="15.75" customHeight="1">
      <c r="A95" s="39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</row>
    <row r="96" ht="15.75" customHeight="1">
      <c r="A96" s="39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</row>
    <row r="97" ht="15.75" customHeight="1">
      <c r="A97" s="39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</row>
    <row r="98" ht="15.75" customHeight="1">
      <c r="A98" s="39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</row>
    <row r="99" ht="15.75" customHeight="1">
      <c r="A99" s="39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</row>
    <row r="100" ht="15.75" customHeight="1">
      <c r="A100" s="39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</row>
    <row r="101" ht="15.75" customHeight="1">
      <c r="A101" s="39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</row>
    <row r="102" ht="15.75" customHeight="1">
      <c r="A102" s="39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</row>
    <row r="103" ht="15.75" customHeight="1">
      <c r="A103" s="39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</row>
    <row r="104" ht="15.75" customHeight="1">
      <c r="A104" s="39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</row>
    <row r="105" ht="15.75" customHeight="1">
      <c r="A105" s="39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</row>
    <row r="106" ht="15.75" customHeight="1">
      <c r="A106" s="39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</row>
    <row r="107" ht="15.75" customHeight="1">
      <c r="A107" s="39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</row>
    <row r="108" ht="15.75" customHeight="1">
      <c r="A108" s="39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</row>
    <row r="109" ht="15.75" customHeight="1">
      <c r="A109" s="39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</row>
    <row r="110" ht="15.75" customHeight="1">
      <c r="A110" s="39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</row>
    <row r="111" ht="15.75" customHeight="1">
      <c r="A111" s="39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</row>
    <row r="112" ht="15.75" customHeight="1">
      <c r="A112" s="39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</row>
    <row r="113" ht="15.75" customHeight="1">
      <c r="A113" s="39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</row>
    <row r="114" ht="15.75" customHeight="1">
      <c r="A114" s="39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</row>
    <row r="115" ht="15.75" customHeight="1">
      <c r="A115" s="39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</row>
    <row r="116" ht="15.75" customHeight="1">
      <c r="A116" s="39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</row>
    <row r="117" ht="15.75" customHeight="1">
      <c r="A117" s="39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</row>
    <row r="118" ht="15.75" customHeight="1">
      <c r="A118" s="39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</row>
    <row r="119" ht="15.75" customHeight="1">
      <c r="A119" s="39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</row>
    <row r="120" ht="15.75" customHeight="1">
      <c r="A120" s="39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</row>
    <row r="121" ht="15.75" customHeight="1">
      <c r="A121" s="39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</row>
    <row r="122" ht="15.75" customHeight="1">
      <c r="A122" s="39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</row>
    <row r="123" ht="15.75" customHeight="1">
      <c r="A123" s="39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</row>
    <row r="124" ht="15.75" customHeight="1">
      <c r="A124" s="39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</row>
    <row r="125" ht="15.75" customHeight="1">
      <c r="A125" s="39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</row>
    <row r="126" ht="15.75" customHeight="1">
      <c r="A126" s="39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</row>
    <row r="127" ht="15.75" customHeight="1">
      <c r="A127" s="39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</row>
    <row r="128" ht="15.75" customHeight="1">
      <c r="A128" s="39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</row>
    <row r="129" ht="15.75" customHeight="1">
      <c r="A129" s="39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</row>
    <row r="130" ht="15.75" customHeight="1">
      <c r="A130" s="39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</row>
    <row r="131" ht="15.75" customHeight="1">
      <c r="A131" s="39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</row>
    <row r="132" ht="15.75" customHeight="1">
      <c r="A132" s="39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</row>
    <row r="133" ht="15.75" customHeight="1">
      <c r="A133" s="39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</row>
    <row r="134" ht="15.75" customHeight="1">
      <c r="A134" s="39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</row>
    <row r="135" ht="15.75" customHeight="1">
      <c r="A135" s="39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</row>
    <row r="136" ht="15.75" customHeight="1">
      <c r="A136" s="39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</row>
    <row r="137" ht="15.75" customHeight="1">
      <c r="A137" s="39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</row>
    <row r="138" ht="15.75" customHeight="1">
      <c r="A138" s="39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</row>
    <row r="139" ht="15.75" customHeight="1">
      <c r="A139" s="39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</row>
    <row r="140" ht="15.75" customHeight="1">
      <c r="A140" s="39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</row>
    <row r="141" ht="15.75" customHeight="1">
      <c r="A141" s="39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</row>
    <row r="142" ht="15.75" customHeight="1">
      <c r="A142" s="39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</row>
    <row r="143" ht="15.75" customHeight="1">
      <c r="A143" s="39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</row>
    <row r="144" ht="15.75" customHeight="1">
      <c r="A144" s="39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</row>
    <row r="145" ht="15.75" customHeight="1">
      <c r="A145" s="39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</row>
    <row r="146" ht="15.75" customHeight="1">
      <c r="A146" s="39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</row>
    <row r="147" ht="15.75" customHeight="1">
      <c r="A147" s="39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</row>
    <row r="148" ht="15.75" customHeight="1">
      <c r="A148" s="39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</row>
    <row r="149" ht="15.75" customHeight="1">
      <c r="A149" s="39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</row>
    <row r="150" ht="15.75" customHeight="1">
      <c r="A150" s="39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</row>
    <row r="151" ht="15.75" customHeight="1">
      <c r="A151" s="39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</row>
    <row r="152" ht="15.75" customHeight="1">
      <c r="A152" s="39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</row>
    <row r="153" ht="15.75" customHeight="1">
      <c r="A153" s="39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</row>
    <row r="154" ht="15.75" customHeight="1">
      <c r="A154" s="39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</row>
    <row r="155" ht="15.75" customHeight="1">
      <c r="A155" s="39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</row>
    <row r="156" ht="15.75" customHeight="1">
      <c r="A156" s="39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</row>
    <row r="157" ht="15.75" customHeight="1">
      <c r="A157" s="39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</row>
    <row r="158" ht="15.75" customHeight="1">
      <c r="A158" s="39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</row>
    <row r="159" ht="15.75" customHeight="1">
      <c r="A159" s="39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</row>
    <row r="160" ht="15.75" customHeight="1">
      <c r="A160" s="39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</row>
    <row r="161" ht="15.75" customHeight="1">
      <c r="A161" s="39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</row>
    <row r="162" ht="15.75" customHeight="1">
      <c r="A162" s="39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</row>
    <row r="163" ht="15.75" customHeight="1">
      <c r="A163" s="39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</row>
    <row r="164" ht="15.75" customHeight="1">
      <c r="A164" s="39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</row>
    <row r="165" ht="15.75" customHeight="1">
      <c r="A165" s="39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</row>
    <row r="166" ht="15.75" customHeight="1">
      <c r="A166" s="39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</row>
    <row r="167" ht="15.75" customHeight="1">
      <c r="A167" s="39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</row>
    <row r="168" ht="15.75" customHeight="1">
      <c r="A168" s="39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</row>
    <row r="169" ht="15.75" customHeight="1">
      <c r="A169" s="39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</row>
    <row r="170" ht="15.75" customHeight="1">
      <c r="A170" s="39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</row>
    <row r="171" ht="15.75" customHeight="1">
      <c r="A171" s="39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</row>
    <row r="172" ht="15.75" customHeight="1">
      <c r="A172" s="39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</row>
    <row r="173" ht="15.75" customHeight="1">
      <c r="A173" s="39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</row>
    <row r="174" ht="15.75" customHeight="1">
      <c r="A174" s="39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</row>
    <row r="175" ht="15.75" customHeight="1">
      <c r="A175" s="39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</row>
    <row r="176" ht="15.75" customHeight="1">
      <c r="A176" s="39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</row>
    <row r="177" ht="15.75" customHeight="1">
      <c r="A177" s="39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</row>
    <row r="178" ht="15.75" customHeight="1">
      <c r="A178" s="39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</row>
    <row r="179" ht="15.75" customHeight="1">
      <c r="A179" s="39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</row>
    <row r="180" ht="15.75" customHeight="1">
      <c r="A180" s="39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</row>
    <row r="181" ht="15.75" customHeight="1">
      <c r="A181" s="39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</row>
    <row r="182" ht="15.75" customHeight="1">
      <c r="A182" s="39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</row>
    <row r="183" ht="15.75" customHeight="1">
      <c r="A183" s="39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</row>
    <row r="184" ht="15.75" customHeight="1">
      <c r="A184" s="39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</row>
    <row r="185" ht="15.75" customHeight="1">
      <c r="A185" s="39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</row>
    <row r="186" ht="15.75" customHeight="1">
      <c r="A186" s="39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</row>
    <row r="187" ht="15.75" customHeight="1">
      <c r="A187" s="39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</row>
    <row r="188" ht="15.75" customHeight="1">
      <c r="A188" s="39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</row>
    <row r="189" ht="15.75" customHeight="1">
      <c r="A189" s="39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</row>
    <row r="190" ht="15.75" customHeight="1">
      <c r="A190" s="39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</row>
    <row r="191" ht="15.75" customHeight="1">
      <c r="A191" s="39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</row>
    <row r="192" ht="15.75" customHeight="1">
      <c r="A192" s="39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</row>
    <row r="193" ht="15.75" customHeight="1">
      <c r="A193" s="39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</row>
    <row r="194" ht="15.75" customHeight="1">
      <c r="A194" s="39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</row>
    <row r="195" ht="15.75" customHeight="1">
      <c r="A195" s="39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</row>
    <row r="196" ht="15.75" customHeight="1">
      <c r="A196" s="39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</row>
    <row r="197" ht="15.75" customHeight="1">
      <c r="A197" s="39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</row>
    <row r="198" ht="15.75" customHeight="1">
      <c r="A198" s="39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</row>
    <row r="199" ht="15.75" customHeight="1">
      <c r="A199" s="39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</row>
    <row r="200" ht="15.75" customHeight="1">
      <c r="A200" s="39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</row>
    <row r="201" ht="15.75" customHeight="1">
      <c r="A201" s="39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</row>
    <row r="202" ht="15.75" customHeight="1">
      <c r="A202" s="39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</row>
    <row r="203" ht="15.75" customHeight="1">
      <c r="A203" s="39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</row>
    <row r="204" ht="15.75" customHeight="1">
      <c r="A204" s="39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</row>
    <row r="205" ht="15.75" customHeight="1">
      <c r="A205" s="39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</row>
    <row r="206" ht="15.75" customHeight="1">
      <c r="A206" s="39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</row>
    <row r="207" ht="15.75" customHeight="1">
      <c r="A207" s="39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</row>
    <row r="208" ht="15.75" customHeight="1">
      <c r="A208" s="39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</row>
    <row r="209" ht="15.75" customHeight="1">
      <c r="A209" s="39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</row>
    <row r="210" ht="15.75" customHeight="1">
      <c r="A210" s="39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</row>
    <row r="211" ht="15.75" customHeight="1">
      <c r="A211" s="39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</row>
    <row r="212" ht="15.75" customHeight="1">
      <c r="A212" s="39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</row>
    <row r="213" ht="15.75" customHeight="1">
      <c r="A213" s="39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</row>
    <row r="214" ht="15.75" customHeight="1">
      <c r="A214" s="39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</row>
    <row r="215" ht="15.75" customHeight="1">
      <c r="A215" s="39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</row>
    <row r="216" ht="15.75" customHeight="1">
      <c r="A216" s="39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</row>
    <row r="217" ht="15.75" customHeight="1">
      <c r="A217" s="39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</row>
    <row r="218" ht="15.75" customHeight="1">
      <c r="A218" s="39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</row>
    <row r="219" ht="15.75" customHeight="1">
      <c r="A219" s="39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</row>
    <row r="220" ht="15.75" customHeight="1">
      <c r="A220" s="39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</row>
    <row r="221" ht="15.75" customHeight="1">
      <c r="A221" s="39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</row>
    <row r="222" ht="15.75" customHeight="1">
      <c r="A222" s="39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</row>
    <row r="223" ht="15.75" customHeight="1">
      <c r="A223" s="39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</row>
    <row r="224" ht="15.75" customHeight="1">
      <c r="A224" s="39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</row>
    <row r="225" ht="15.75" customHeight="1">
      <c r="A225" s="39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</row>
    <row r="226" ht="15.75" customHeight="1">
      <c r="A226" s="39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</row>
    <row r="227" ht="15.75" customHeight="1">
      <c r="A227" s="39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</row>
    <row r="228" ht="15.75" customHeight="1">
      <c r="A228" s="39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</row>
    <row r="229" ht="15.75" customHeight="1">
      <c r="A229" s="39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</row>
    <row r="230" ht="15.75" customHeight="1">
      <c r="A230" s="39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</row>
    <row r="231" ht="15.75" customHeight="1">
      <c r="A231" s="39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</row>
    <row r="232" ht="15.75" customHeight="1">
      <c r="A232" s="39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</row>
    <row r="233" ht="15.75" customHeight="1">
      <c r="A233" s="39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</row>
    <row r="234" ht="15.75" customHeight="1">
      <c r="A234" s="39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</row>
    <row r="235" ht="15.75" customHeight="1">
      <c r="A235" s="39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</row>
    <row r="236" ht="15.75" customHeight="1">
      <c r="A236" s="39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</row>
    <row r="237" ht="15.75" customHeight="1">
      <c r="A237" s="39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</row>
    <row r="238" ht="15.75" customHeight="1">
      <c r="A238" s="39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</row>
    <row r="239" ht="15.75" customHeight="1">
      <c r="A239" s="39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</row>
    <row r="240" ht="15.75" customHeight="1">
      <c r="A240" s="39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</row>
    <row r="241" ht="15.75" customHeight="1">
      <c r="A241" s="39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</row>
    <row r="242" ht="15.75" customHeight="1">
      <c r="A242" s="39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</row>
    <row r="243" ht="15.75" customHeight="1">
      <c r="A243" s="39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</row>
    <row r="244" ht="15.75" customHeight="1">
      <c r="A244" s="39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</row>
    <row r="245" ht="15.75" customHeight="1">
      <c r="A245" s="39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</row>
    <row r="246" ht="15.75" customHeight="1">
      <c r="A246" s="39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</row>
    <row r="247" ht="15.75" customHeight="1">
      <c r="A247" s="39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</row>
    <row r="248" ht="15.75" customHeight="1">
      <c r="A248" s="39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</row>
    <row r="249" ht="15.75" customHeight="1">
      <c r="A249" s="39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</row>
    <row r="250" ht="15.75" customHeight="1">
      <c r="A250" s="39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</row>
    <row r="251" ht="15.75" customHeight="1">
      <c r="A251" s="39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</row>
    <row r="252" ht="15.75" customHeight="1">
      <c r="A252" s="39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</row>
    <row r="253" ht="15.75" customHeight="1">
      <c r="A253" s="39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</row>
    <row r="254" ht="15.75" customHeight="1">
      <c r="A254" s="39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</row>
    <row r="255" ht="15.75" customHeight="1">
      <c r="A255" s="39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</row>
    <row r="256" ht="15.75" customHeight="1">
      <c r="A256" s="39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</row>
    <row r="257" ht="15.75" customHeight="1">
      <c r="A257" s="39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</row>
    <row r="258" ht="15.75" customHeight="1">
      <c r="A258" s="39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</row>
    <row r="259" ht="15.75" customHeight="1">
      <c r="A259" s="39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</row>
    <row r="260" ht="15.75" customHeight="1">
      <c r="A260" s="39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</row>
    <row r="261" ht="15.75" customHeight="1">
      <c r="A261" s="39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</row>
    <row r="262" ht="15.75" customHeight="1">
      <c r="A262" s="39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</row>
    <row r="263" ht="15.75" customHeight="1">
      <c r="A263" s="39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</row>
    <row r="264" ht="15.75" customHeight="1">
      <c r="A264" s="39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</row>
    <row r="265" ht="15.75" customHeight="1">
      <c r="A265" s="39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</row>
    <row r="266" ht="15.75" customHeight="1">
      <c r="A266" s="39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</row>
    <row r="267" ht="15.75" customHeight="1">
      <c r="A267" s="39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</row>
    <row r="268" ht="15.75" customHeight="1">
      <c r="A268" s="39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</row>
    <row r="269" ht="15.75" customHeight="1">
      <c r="A269" s="39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</row>
    <row r="270" ht="15.75" customHeight="1">
      <c r="A270" s="39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</row>
    <row r="271" ht="15.75" customHeight="1">
      <c r="A271" s="39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</row>
    <row r="272" ht="15.75" customHeight="1">
      <c r="A272" s="39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</row>
    <row r="273" ht="15.75" customHeight="1">
      <c r="A273" s="39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</row>
    <row r="274" ht="15.75" customHeight="1">
      <c r="A274" s="39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</row>
    <row r="275" ht="15.75" customHeight="1">
      <c r="A275" s="39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</row>
    <row r="276" ht="15.75" customHeight="1">
      <c r="A276" s="39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</row>
    <row r="277" ht="15.75" customHeight="1">
      <c r="A277" s="39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</row>
    <row r="278" ht="15.75" customHeight="1">
      <c r="A278" s="39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</row>
    <row r="279" ht="15.75" customHeight="1">
      <c r="A279" s="39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</row>
    <row r="280" ht="15.75" customHeight="1">
      <c r="A280" s="39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</row>
    <row r="281" ht="15.75" customHeight="1">
      <c r="A281" s="39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</row>
    <row r="282" ht="15.75" customHeight="1">
      <c r="A282" s="39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</row>
    <row r="283" ht="15.75" customHeight="1">
      <c r="A283" s="39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</row>
    <row r="284" ht="15.75" customHeight="1">
      <c r="A284" s="39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</row>
    <row r="285" ht="15.75" customHeight="1">
      <c r="A285" s="39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</row>
    <row r="286" ht="15.75" customHeight="1">
      <c r="A286" s="39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</row>
    <row r="287" ht="15.75" customHeight="1">
      <c r="A287" s="39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</row>
    <row r="288" ht="15.75" customHeight="1">
      <c r="A288" s="39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</row>
    <row r="289" ht="15.75" customHeight="1">
      <c r="A289" s="39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</row>
    <row r="290" ht="15.75" customHeight="1">
      <c r="A290" s="39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</row>
    <row r="291" ht="15.75" customHeight="1">
      <c r="A291" s="39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</row>
    <row r="292" ht="15.75" customHeight="1">
      <c r="A292" s="39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</row>
    <row r="293" ht="15.75" customHeight="1">
      <c r="A293" s="39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</row>
    <row r="294" ht="15.75" customHeight="1">
      <c r="A294" s="39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</row>
    <row r="295" ht="15.75" customHeight="1">
      <c r="A295" s="39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</row>
    <row r="296" ht="15.75" customHeight="1">
      <c r="A296" s="39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</row>
    <row r="297" ht="15.75" customHeight="1">
      <c r="A297" s="39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</row>
    <row r="298" ht="15.75" customHeight="1">
      <c r="A298" s="39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</row>
    <row r="299" ht="15.75" customHeight="1">
      <c r="A299" s="39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</row>
    <row r="300" ht="15.75" customHeight="1">
      <c r="A300" s="39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</row>
    <row r="301" ht="15.75" customHeight="1">
      <c r="A301" s="39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</row>
    <row r="302" ht="15.75" customHeight="1">
      <c r="A302" s="39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</row>
    <row r="303" ht="15.75" customHeight="1">
      <c r="A303" s="39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</row>
    <row r="304" ht="15.75" customHeight="1">
      <c r="A304" s="39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</row>
    <row r="305" ht="15.75" customHeight="1">
      <c r="A305" s="39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</row>
    <row r="306" ht="15.75" customHeight="1">
      <c r="A306" s="39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</row>
    <row r="307" ht="15.75" customHeight="1">
      <c r="A307" s="39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</row>
    <row r="308" ht="15.75" customHeight="1">
      <c r="A308" s="39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</row>
    <row r="309" ht="15.75" customHeight="1">
      <c r="A309" s="39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</row>
    <row r="310" ht="15.75" customHeight="1">
      <c r="A310" s="39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</row>
    <row r="311" ht="15.75" customHeight="1">
      <c r="A311" s="39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</row>
    <row r="312" ht="15.75" customHeight="1">
      <c r="A312" s="39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</row>
    <row r="313" ht="15.75" customHeight="1">
      <c r="A313" s="39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</row>
    <row r="314" ht="15.75" customHeight="1">
      <c r="A314" s="39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</row>
    <row r="315" ht="15.75" customHeight="1">
      <c r="A315" s="39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</row>
    <row r="316" ht="15.75" customHeight="1">
      <c r="A316" s="39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</row>
    <row r="317" ht="15.75" customHeight="1">
      <c r="A317" s="39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</row>
    <row r="318" ht="15.75" customHeight="1">
      <c r="A318" s="39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</row>
    <row r="319" ht="15.75" customHeight="1">
      <c r="A319" s="39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</row>
    <row r="320" ht="15.75" customHeight="1">
      <c r="A320" s="39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</row>
    <row r="321" ht="15.75" customHeight="1">
      <c r="A321" s="39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</row>
    <row r="322" ht="15.75" customHeight="1">
      <c r="A322" s="39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</row>
    <row r="323" ht="15.75" customHeight="1">
      <c r="A323" s="39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</row>
    <row r="324" ht="15.75" customHeight="1">
      <c r="A324" s="39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</row>
    <row r="325" ht="15.75" customHeight="1">
      <c r="A325" s="39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</row>
    <row r="326" ht="15.75" customHeight="1">
      <c r="A326" s="39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</row>
    <row r="327" ht="15.75" customHeight="1">
      <c r="A327" s="39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</row>
    <row r="328" ht="15.75" customHeight="1">
      <c r="A328" s="39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</row>
    <row r="329" ht="15.75" customHeight="1">
      <c r="A329" s="39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</row>
    <row r="330" ht="15.75" customHeight="1">
      <c r="A330" s="39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</row>
    <row r="331" ht="15.75" customHeight="1">
      <c r="A331" s="39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</row>
    <row r="332" ht="15.75" customHeight="1">
      <c r="A332" s="39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</row>
    <row r="333" ht="15.75" customHeight="1">
      <c r="A333" s="39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</row>
    <row r="334" ht="15.75" customHeight="1">
      <c r="A334" s="39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</row>
    <row r="335" ht="15.75" customHeight="1">
      <c r="A335" s="39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</row>
    <row r="336" ht="15.75" customHeight="1">
      <c r="A336" s="39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</row>
    <row r="337" ht="15.75" customHeight="1">
      <c r="A337" s="39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</row>
    <row r="338" ht="15.75" customHeight="1">
      <c r="A338" s="39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</row>
    <row r="339" ht="15.75" customHeight="1">
      <c r="A339" s="39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</row>
    <row r="340" ht="15.75" customHeight="1">
      <c r="A340" s="39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</row>
    <row r="341" ht="15.75" customHeight="1">
      <c r="A341" s="39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</row>
    <row r="342" ht="15.75" customHeight="1">
      <c r="A342" s="39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</row>
    <row r="343" ht="15.75" customHeight="1">
      <c r="A343" s="39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</row>
    <row r="344" ht="15.75" customHeight="1">
      <c r="A344" s="39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</row>
    <row r="345" ht="15.75" customHeight="1">
      <c r="A345" s="39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</row>
    <row r="346" ht="15.75" customHeight="1">
      <c r="A346" s="39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</row>
    <row r="347" ht="15.75" customHeight="1">
      <c r="A347" s="39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</row>
    <row r="348" ht="15.75" customHeight="1">
      <c r="A348" s="39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</row>
    <row r="349" ht="15.75" customHeight="1">
      <c r="A349" s="39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</row>
    <row r="350" ht="15.75" customHeight="1">
      <c r="A350" s="39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</row>
    <row r="351" ht="15.75" customHeight="1">
      <c r="A351" s="39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</row>
    <row r="352" ht="15.75" customHeight="1">
      <c r="A352" s="39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</row>
    <row r="353" ht="15.75" customHeight="1">
      <c r="A353" s="39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</row>
    <row r="354" ht="15.75" customHeight="1">
      <c r="A354" s="39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</row>
    <row r="355" ht="15.75" customHeight="1">
      <c r="A355" s="39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</row>
    <row r="356" ht="15.75" customHeight="1">
      <c r="A356" s="39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</row>
    <row r="357" ht="15.75" customHeight="1">
      <c r="A357" s="39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</row>
    <row r="358" ht="15.75" customHeight="1">
      <c r="A358" s="39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</row>
    <row r="359" ht="15.75" customHeight="1">
      <c r="A359" s="39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</row>
    <row r="360" ht="15.75" customHeight="1">
      <c r="A360" s="39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</row>
    <row r="361" ht="15.75" customHeight="1">
      <c r="A361" s="39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</row>
    <row r="362" ht="15.75" customHeight="1">
      <c r="A362" s="39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</row>
    <row r="363" ht="15.75" customHeight="1">
      <c r="A363" s="39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</row>
    <row r="364" ht="15.75" customHeight="1">
      <c r="A364" s="39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</row>
    <row r="365" ht="15.75" customHeight="1">
      <c r="A365" s="39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</row>
    <row r="366" ht="15.75" customHeight="1">
      <c r="A366" s="39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</row>
    <row r="367" ht="15.75" customHeight="1">
      <c r="A367" s="39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</row>
    <row r="368" ht="15.75" customHeight="1">
      <c r="A368" s="39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</row>
    <row r="369" ht="15.75" customHeight="1">
      <c r="A369" s="39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</row>
    <row r="370" ht="15.75" customHeight="1">
      <c r="A370" s="39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</row>
    <row r="371" ht="15.75" customHeight="1">
      <c r="A371" s="39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</row>
    <row r="372" ht="15.75" customHeight="1">
      <c r="A372" s="39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</row>
    <row r="373" ht="15.75" customHeight="1">
      <c r="A373" s="39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</row>
    <row r="374" ht="15.75" customHeight="1">
      <c r="A374" s="39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</row>
    <row r="375" ht="15.75" customHeight="1">
      <c r="A375" s="39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</row>
    <row r="376" ht="15.75" customHeight="1">
      <c r="A376" s="39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</row>
    <row r="377" ht="15.75" customHeight="1">
      <c r="A377" s="39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</row>
    <row r="378" ht="15.75" customHeight="1">
      <c r="A378" s="39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</row>
    <row r="379" ht="15.75" customHeight="1">
      <c r="A379" s="39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</row>
    <row r="380" ht="15.75" customHeight="1">
      <c r="A380" s="39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</row>
    <row r="381" ht="15.75" customHeight="1">
      <c r="A381" s="39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</row>
    <row r="382" ht="15.75" customHeight="1">
      <c r="A382" s="39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</row>
    <row r="383" ht="15.75" customHeight="1">
      <c r="A383" s="39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</row>
    <row r="384" ht="15.75" customHeight="1">
      <c r="A384" s="39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</row>
    <row r="385" ht="15.75" customHeight="1">
      <c r="A385" s="39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</row>
    <row r="386" ht="15.75" customHeight="1">
      <c r="A386" s="39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</row>
    <row r="387" ht="15.75" customHeight="1">
      <c r="A387" s="39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</row>
    <row r="388" ht="15.75" customHeight="1">
      <c r="A388" s="39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</row>
    <row r="389" ht="15.75" customHeight="1">
      <c r="A389" s="39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</row>
    <row r="390" ht="15.75" customHeight="1">
      <c r="A390" s="39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</row>
    <row r="391" ht="15.75" customHeight="1">
      <c r="A391" s="39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</row>
    <row r="392" ht="15.75" customHeight="1">
      <c r="A392" s="39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</row>
    <row r="393" ht="15.75" customHeight="1">
      <c r="A393" s="39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</row>
    <row r="394" ht="15.75" customHeight="1">
      <c r="A394" s="39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</row>
    <row r="395" ht="15.75" customHeight="1">
      <c r="A395" s="39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</row>
    <row r="396" ht="15.75" customHeight="1">
      <c r="A396" s="39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</row>
    <row r="397" ht="15.75" customHeight="1">
      <c r="A397" s="39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</row>
    <row r="398" ht="15.75" customHeight="1">
      <c r="A398" s="39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</row>
    <row r="399" ht="15.75" customHeight="1">
      <c r="A399" s="39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</row>
    <row r="400" ht="15.75" customHeight="1">
      <c r="A400" s="39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</row>
    <row r="401" ht="15.75" customHeight="1">
      <c r="A401" s="39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</row>
    <row r="402" ht="15.75" customHeight="1">
      <c r="A402" s="39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</row>
    <row r="403" ht="15.75" customHeight="1">
      <c r="A403" s="39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</row>
    <row r="404" ht="15.75" customHeight="1">
      <c r="A404" s="39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</row>
    <row r="405" ht="15.75" customHeight="1">
      <c r="A405" s="39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</row>
    <row r="406" ht="15.75" customHeight="1">
      <c r="A406" s="39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</row>
    <row r="407" ht="15.75" customHeight="1">
      <c r="A407" s="39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</row>
    <row r="408" ht="15.75" customHeight="1">
      <c r="A408" s="39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</row>
    <row r="409" ht="15.75" customHeight="1">
      <c r="A409" s="39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</row>
    <row r="410" ht="15.75" customHeight="1">
      <c r="A410" s="39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</row>
    <row r="411" ht="15.75" customHeight="1">
      <c r="A411" s="39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</row>
    <row r="412" ht="15.75" customHeight="1">
      <c r="A412" s="39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</row>
    <row r="413" ht="15.75" customHeight="1">
      <c r="A413" s="39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</row>
    <row r="414" ht="15.75" customHeight="1">
      <c r="A414" s="39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</row>
    <row r="415" ht="15.75" customHeight="1">
      <c r="A415" s="39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</row>
    <row r="416" ht="15.75" customHeight="1">
      <c r="A416" s="39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</row>
    <row r="417" ht="15.75" customHeight="1">
      <c r="A417" s="39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</row>
    <row r="418" ht="15.75" customHeight="1">
      <c r="A418" s="39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</row>
    <row r="419" ht="15.75" customHeight="1">
      <c r="A419" s="39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</row>
    <row r="420" ht="15.75" customHeight="1">
      <c r="A420" s="39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</row>
    <row r="421" ht="15.75" customHeight="1">
      <c r="A421" s="39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</row>
    <row r="422" ht="15.75" customHeight="1">
      <c r="A422" s="39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</row>
    <row r="423" ht="15.75" customHeight="1">
      <c r="A423" s="39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</row>
    <row r="424" ht="15.75" customHeight="1">
      <c r="A424" s="39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</row>
    <row r="425" ht="15.75" customHeight="1">
      <c r="A425" s="39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</row>
    <row r="426" ht="15.75" customHeight="1">
      <c r="A426" s="39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</row>
    <row r="427" ht="15.75" customHeight="1">
      <c r="A427" s="39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</row>
    <row r="428" ht="15.75" customHeight="1">
      <c r="A428" s="39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</row>
    <row r="429" ht="15.75" customHeight="1">
      <c r="A429" s="39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</row>
    <row r="430" ht="15.75" customHeight="1">
      <c r="A430" s="39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</row>
    <row r="431" ht="15.75" customHeight="1">
      <c r="A431" s="39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</row>
    <row r="432" ht="15.75" customHeight="1">
      <c r="A432" s="39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</row>
    <row r="433" ht="15.75" customHeight="1">
      <c r="A433" s="39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</row>
    <row r="434" ht="15.75" customHeight="1">
      <c r="A434" s="39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</row>
    <row r="435" ht="15.75" customHeight="1">
      <c r="A435" s="39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</row>
    <row r="436" ht="15.75" customHeight="1">
      <c r="A436" s="39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</row>
    <row r="437" ht="15.75" customHeight="1">
      <c r="A437" s="39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</row>
    <row r="438" ht="15.75" customHeight="1">
      <c r="A438" s="39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</row>
    <row r="439" ht="15.75" customHeight="1">
      <c r="A439" s="39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</row>
    <row r="440" ht="15.75" customHeight="1">
      <c r="A440" s="39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</row>
    <row r="441" ht="15.75" customHeight="1">
      <c r="A441" s="39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</row>
    <row r="442" ht="15.75" customHeight="1">
      <c r="A442" s="39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</row>
    <row r="443" ht="15.75" customHeight="1">
      <c r="A443" s="39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</row>
    <row r="444" ht="15.75" customHeight="1">
      <c r="A444" s="39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</row>
    <row r="445" ht="15.75" customHeight="1">
      <c r="A445" s="39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</row>
    <row r="446" ht="15.75" customHeight="1">
      <c r="A446" s="39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</row>
    <row r="447" ht="15.75" customHeight="1">
      <c r="A447" s="39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</row>
    <row r="448" ht="15.75" customHeight="1">
      <c r="A448" s="39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</row>
    <row r="449" ht="15.75" customHeight="1">
      <c r="A449" s="39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</row>
    <row r="450" ht="15.75" customHeight="1">
      <c r="A450" s="39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</row>
    <row r="451" ht="15.75" customHeight="1">
      <c r="A451" s="39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</row>
    <row r="452" ht="15.75" customHeight="1">
      <c r="A452" s="39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</row>
    <row r="453" ht="15.75" customHeight="1">
      <c r="A453" s="39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</row>
    <row r="454" ht="15.75" customHeight="1">
      <c r="A454" s="39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</row>
    <row r="455" ht="15.75" customHeight="1">
      <c r="A455" s="39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</row>
    <row r="456" ht="15.75" customHeight="1">
      <c r="A456" s="39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</row>
    <row r="457" ht="15.75" customHeight="1">
      <c r="A457" s="39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</row>
    <row r="458" ht="15.75" customHeight="1">
      <c r="A458" s="39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</row>
    <row r="459" ht="15.75" customHeight="1">
      <c r="A459" s="39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</row>
    <row r="460" ht="15.75" customHeight="1">
      <c r="A460" s="39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</row>
    <row r="461" ht="15.75" customHeight="1">
      <c r="A461" s="39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</row>
    <row r="462" ht="15.75" customHeight="1">
      <c r="A462" s="39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</row>
    <row r="463" ht="15.75" customHeight="1">
      <c r="A463" s="39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</row>
    <row r="464" ht="15.75" customHeight="1">
      <c r="A464" s="39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</row>
    <row r="465" ht="15.75" customHeight="1">
      <c r="A465" s="39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</row>
    <row r="466" ht="15.75" customHeight="1">
      <c r="A466" s="39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</row>
    <row r="467" ht="15.75" customHeight="1">
      <c r="A467" s="39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</row>
    <row r="468" ht="15.75" customHeight="1">
      <c r="A468" s="39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</row>
    <row r="469" ht="15.75" customHeight="1">
      <c r="A469" s="39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</row>
    <row r="470" ht="15.75" customHeight="1">
      <c r="A470" s="39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</row>
    <row r="471" ht="15.75" customHeight="1">
      <c r="A471" s="39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</row>
    <row r="472" ht="15.75" customHeight="1">
      <c r="A472" s="39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</row>
    <row r="473" ht="15.75" customHeight="1">
      <c r="A473" s="39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</row>
    <row r="474" ht="15.75" customHeight="1">
      <c r="A474" s="39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</row>
    <row r="475" ht="15.75" customHeight="1">
      <c r="A475" s="39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</row>
    <row r="476" ht="15.75" customHeight="1">
      <c r="A476" s="39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</row>
    <row r="477" ht="15.75" customHeight="1">
      <c r="A477" s="39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</row>
    <row r="478" ht="15.75" customHeight="1">
      <c r="A478" s="39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</row>
    <row r="479" ht="15.75" customHeight="1">
      <c r="A479" s="39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</row>
    <row r="480" ht="15.75" customHeight="1">
      <c r="A480" s="39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</row>
    <row r="481" ht="15.75" customHeight="1">
      <c r="A481" s="39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</row>
    <row r="482" ht="15.75" customHeight="1">
      <c r="A482" s="39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</row>
    <row r="483" ht="15.75" customHeight="1">
      <c r="A483" s="39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</row>
    <row r="484" ht="15.75" customHeight="1">
      <c r="A484" s="39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</row>
    <row r="485" ht="15.75" customHeight="1">
      <c r="A485" s="39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</row>
    <row r="486" ht="15.75" customHeight="1">
      <c r="A486" s="39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</row>
    <row r="487" ht="15.75" customHeight="1">
      <c r="A487" s="39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</row>
    <row r="488" ht="15.75" customHeight="1">
      <c r="A488" s="39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</row>
    <row r="489" ht="15.75" customHeight="1">
      <c r="A489" s="39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</row>
    <row r="490" ht="15.75" customHeight="1">
      <c r="A490" s="39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</row>
    <row r="491" ht="15.75" customHeight="1">
      <c r="A491" s="39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</row>
    <row r="492" ht="15.75" customHeight="1">
      <c r="A492" s="39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</row>
    <row r="493" ht="15.75" customHeight="1">
      <c r="A493" s="39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</row>
    <row r="494" ht="15.75" customHeight="1">
      <c r="A494" s="39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</row>
    <row r="495" ht="15.75" customHeight="1">
      <c r="A495" s="39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</row>
    <row r="496" ht="15.75" customHeight="1">
      <c r="A496" s="39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</row>
    <row r="497" ht="15.75" customHeight="1">
      <c r="A497" s="39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</row>
    <row r="498" ht="15.75" customHeight="1">
      <c r="A498" s="39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</row>
    <row r="499" ht="15.75" customHeight="1">
      <c r="A499" s="39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</row>
    <row r="500" ht="15.75" customHeight="1">
      <c r="A500" s="39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</row>
    <row r="501" ht="15.75" customHeight="1">
      <c r="A501" s="39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</row>
    <row r="502" ht="15.75" customHeight="1">
      <c r="A502" s="39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</row>
    <row r="503" ht="15.75" customHeight="1">
      <c r="A503" s="39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</row>
    <row r="504" ht="15.75" customHeight="1">
      <c r="A504" s="39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</row>
    <row r="505" ht="15.75" customHeight="1">
      <c r="A505" s="39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</row>
    <row r="506" ht="15.75" customHeight="1">
      <c r="A506" s="39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</row>
    <row r="507" ht="15.75" customHeight="1">
      <c r="A507" s="39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</row>
    <row r="508" ht="15.75" customHeight="1">
      <c r="A508" s="39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</row>
    <row r="509" ht="15.75" customHeight="1">
      <c r="A509" s="39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</row>
    <row r="510" ht="15.75" customHeight="1">
      <c r="A510" s="39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</row>
    <row r="511" ht="15.75" customHeight="1">
      <c r="A511" s="39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</row>
    <row r="512" ht="15.75" customHeight="1">
      <c r="A512" s="39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</row>
    <row r="513" ht="15.75" customHeight="1">
      <c r="A513" s="39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</row>
    <row r="514" ht="15.75" customHeight="1">
      <c r="A514" s="39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</row>
    <row r="515" ht="15.75" customHeight="1">
      <c r="A515" s="39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</row>
    <row r="516" ht="15.75" customHeight="1">
      <c r="A516" s="39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</row>
    <row r="517" ht="15.75" customHeight="1">
      <c r="A517" s="39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</row>
    <row r="518" ht="15.75" customHeight="1">
      <c r="A518" s="39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</row>
    <row r="519" ht="15.75" customHeight="1">
      <c r="A519" s="39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</row>
    <row r="520" ht="15.75" customHeight="1">
      <c r="A520" s="39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</row>
    <row r="521" ht="15.75" customHeight="1">
      <c r="A521" s="39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</row>
    <row r="522" ht="15.75" customHeight="1">
      <c r="A522" s="39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</row>
    <row r="523" ht="15.75" customHeight="1">
      <c r="A523" s="39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</row>
    <row r="524" ht="15.75" customHeight="1">
      <c r="A524" s="39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</row>
    <row r="525" ht="15.75" customHeight="1">
      <c r="A525" s="39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</row>
    <row r="526" ht="15.75" customHeight="1">
      <c r="A526" s="39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</row>
    <row r="527" ht="15.75" customHeight="1">
      <c r="A527" s="39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</row>
    <row r="528" ht="15.75" customHeight="1">
      <c r="A528" s="39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</row>
    <row r="529" ht="15.75" customHeight="1">
      <c r="A529" s="39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</row>
    <row r="530" ht="15.75" customHeight="1">
      <c r="A530" s="39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</row>
    <row r="531" ht="15.75" customHeight="1">
      <c r="A531" s="39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</row>
    <row r="532" ht="15.75" customHeight="1">
      <c r="A532" s="39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</row>
    <row r="533" ht="15.75" customHeight="1">
      <c r="A533" s="39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</row>
    <row r="534" ht="15.75" customHeight="1">
      <c r="A534" s="39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</row>
    <row r="535" ht="15.75" customHeight="1">
      <c r="A535" s="39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</row>
    <row r="536" ht="15.75" customHeight="1">
      <c r="A536" s="39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</row>
    <row r="537" ht="15.75" customHeight="1">
      <c r="A537" s="39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</row>
    <row r="538" ht="15.75" customHeight="1">
      <c r="A538" s="39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</row>
    <row r="539" ht="15.75" customHeight="1">
      <c r="A539" s="39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</row>
    <row r="540" ht="15.75" customHeight="1">
      <c r="A540" s="39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</row>
    <row r="541" ht="15.75" customHeight="1">
      <c r="A541" s="39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</row>
    <row r="542" ht="15.75" customHeight="1">
      <c r="A542" s="39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</row>
    <row r="543" ht="15.75" customHeight="1">
      <c r="A543" s="39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</row>
    <row r="544" ht="15.75" customHeight="1">
      <c r="A544" s="39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</row>
    <row r="545" ht="15.75" customHeight="1">
      <c r="A545" s="39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</row>
    <row r="546" ht="15.75" customHeight="1">
      <c r="A546" s="39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</row>
    <row r="547" ht="15.75" customHeight="1">
      <c r="A547" s="39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</row>
    <row r="548" ht="15.75" customHeight="1">
      <c r="A548" s="39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</row>
    <row r="549" ht="15.75" customHeight="1">
      <c r="A549" s="39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</row>
    <row r="550" ht="15.75" customHeight="1">
      <c r="A550" s="39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</row>
    <row r="551" ht="15.75" customHeight="1">
      <c r="A551" s="39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</row>
    <row r="552" ht="15.75" customHeight="1">
      <c r="A552" s="39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</row>
    <row r="553" ht="15.75" customHeight="1">
      <c r="A553" s="39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</row>
    <row r="554" ht="15.75" customHeight="1">
      <c r="A554" s="39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</row>
    <row r="555" ht="15.75" customHeight="1">
      <c r="A555" s="39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</row>
    <row r="556" ht="15.75" customHeight="1">
      <c r="A556" s="39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</row>
    <row r="557" ht="15.75" customHeight="1">
      <c r="A557" s="39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</row>
    <row r="558" ht="15.75" customHeight="1">
      <c r="A558" s="39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</row>
    <row r="559" ht="15.75" customHeight="1">
      <c r="A559" s="39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</row>
    <row r="560" ht="15.75" customHeight="1">
      <c r="A560" s="39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</row>
    <row r="561" ht="15.75" customHeight="1">
      <c r="A561" s="39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</row>
    <row r="562" ht="15.75" customHeight="1">
      <c r="A562" s="39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</row>
    <row r="563" ht="15.75" customHeight="1">
      <c r="A563" s="39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</row>
    <row r="564" ht="15.75" customHeight="1">
      <c r="A564" s="39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</row>
    <row r="565" ht="15.75" customHeight="1">
      <c r="A565" s="39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</row>
    <row r="566" ht="15.75" customHeight="1">
      <c r="A566" s="39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</row>
    <row r="567" ht="15.75" customHeight="1">
      <c r="A567" s="39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</row>
    <row r="568" ht="15.75" customHeight="1">
      <c r="A568" s="39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</row>
    <row r="569" ht="15.75" customHeight="1">
      <c r="A569" s="39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</row>
    <row r="570" ht="15.75" customHeight="1">
      <c r="A570" s="39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</row>
    <row r="571" ht="15.75" customHeight="1">
      <c r="A571" s="39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</row>
    <row r="572" ht="15.75" customHeight="1">
      <c r="A572" s="39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</row>
    <row r="573" ht="15.75" customHeight="1">
      <c r="A573" s="39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</row>
    <row r="574" ht="15.75" customHeight="1">
      <c r="A574" s="39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</row>
    <row r="575" ht="15.75" customHeight="1">
      <c r="A575" s="39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</row>
    <row r="576" ht="15.75" customHeight="1">
      <c r="A576" s="39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</row>
    <row r="577" ht="15.75" customHeight="1">
      <c r="A577" s="39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</row>
    <row r="578" ht="15.75" customHeight="1">
      <c r="A578" s="39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</row>
    <row r="579" ht="15.75" customHeight="1">
      <c r="A579" s="39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</row>
    <row r="580" ht="15.75" customHeight="1">
      <c r="A580" s="39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</row>
    <row r="581" ht="15.75" customHeight="1">
      <c r="A581" s="39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</row>
    <row r="582" ht="15.75" customHeight="1">
      <c r="A582" s="39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</row>
    <row r="583" ht="15.75" customHeight="1">
      <c r="A583" s="39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</row>
    <row r="584" ht="15.75" customHeight="1">
      <c r="A584" s="39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</row>
    <row r="585" ht="15.75" customHeight="1">
      <c r="A585" s="39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</row>
    <row r="586" ht="15.75" customHeight="1">
      <c r="A586" s="39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</row>
    <row r="587" ht="15.75" customHeight="1">
      <c r="A587" s="39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</row>
    <row r="588" ht="15.75" customHeight="1">
      <c r="A588" s="39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</row>
    <row r="589" ht="15.75" customHeight="1">
      <c r="A589" s="39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</row>
    <row r="590" ht="15.75" customHeight="1">
      <c r="A590" s="39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</row>
    <row r="591" ht="15.75" customHeight="1">
      <c r="A591" s="39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</row>
    <row r="592" ht="15.75" customHeight="1">
      <c r="A592" s="39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</row>
    <row r="593" ht="15.75" customHeight="1">
      <c r="A593" s="39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</row>
    <row r="594" ht="15.75" customHeight="1">
      <c r="A594" s="39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</row>
    <row r="595" ht="15.75" customHeight="1">
      <c r="A595" s="39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</row>
    <row r="596" ht="15.75" customHeight="1">
      <c r="A596" s="39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</row>
    <row r="597" ht="15.75" customHeight="1">
      <c r="A597" s="39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</row>
    <row r="598" ht="15.75" customHeight="1">
      <c r="A598" s="39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</row>
    <row r="599" ht="15.75" customHeight="1">
      <c r="A599" s="39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</row>
    <row r="600" ht="15.75" customHeight="1">
      <c r="A600" s="39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</row>
    <row r="601" ht="15.75" customHeight="1">
      <c r="A601" s="39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</row>
    <row r="602" ht="15.75" customHeight="1">
      <c r="A602" s="39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</row>
    <row r="603" ht="15.75" customHeight="1">
      <c r="A603" s="39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</row>
    <row r="604" ht="15.75" customHeight="1">
      <c r="A604" s="39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</row>
    <row r="605" ht="15.75" customHeight="1">
      <c r="A605" s="39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</row>
    <row r="606" ht="15.75" customHeight="1">
      <c r="A606" s="39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</row>
    <row r="607" ht="15.75" customHeight="1">
      <c r="A607" s="39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</row>
    <row r="608" ht="15.75" customHeight="1">
      <c r="A608" s="39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</row>
    <row r="609" ht="15.75" customHeight="1">
      <c r="A609" s="39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</row>
    <row r="610" ht="15.75" customHeight="1">
      <c r="A610" s="39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</row>
    <row r="611" ht="15.75" customHeight="1">
      <c r="A611" s="39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</row>
    <row r="612" ht="15.75" customHeight="1">
      <c r="A612" s="39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</row>
    <row r="613" ht="15.75" customHeight="1">
      <c r="A613" s="39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</row>
    <row r="614" ht="15.75" customHeight="1">
      <c r="A614" s="39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</row>
    <row r="615" ht="15.75" customHeight="1">
      <c r="A615" s="39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</row>
    <row r="616" ht="15.75" customHeight="1">
      <c r="A616" s="39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</row>
    <row r="617" ht="15.75" customHeight="1">
      <c r="A617" s="39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</row>
    <row r="618" ht="15.75" customHeight="1">
      <c r="A618" s="39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</row>
    <row r="619" ht="15.75" customHeight="1">
      <c r="A619" s="39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</row>
    <row r="620" ht="15.75" customHeight="1">
      <c r="A620" s="39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</row>
    <row r="621" ht="15.75" customHeight="1">
      <c r="A621" s="39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</row>
    <row r="622" ht="15.75" customHeight="1">
      <c r="A622" s="39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</row>
    <row r="623" ht="15.75" customHeight="1">
      <c r="A623" s="39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</row>
    <row r="624" ht="15.75" customHeight="1">
      <c r="A624" s="39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</row>
    <row r="625" ht="15.75" customHeight="1">
      <c r="A625" s="39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</row>
    <row r="626" ht="15.75" customHeight="1">
      <c r="A626" s="39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</row>
    <row r="627" ht="15.75" customHeight="1">
      <c r="A627" s="39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</row>
    <row r="628" ht="15.75" customHeight="1">
      <c r="A628" s="39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</row>
    <row r="629" ht="15.75" customHeight="1">
      <c r="A629" s="39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</row>
    <row r="630" ht="15.75" customHeight="1">
      <c r="A630" s="39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</row>
    <row r="631" ht="15.75" customHeight="1">
      <c r="A631" s="39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</row>
    <row r="632" ht="15.75" customHeight="1">
      <c r="A632" s="39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</row>
    <row r="633" ht="15.75" customHeight="1">
      <c r="A633" s="39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</row>
    <row r="634" ht="15.75" customHeight="1">
      <c r="A634" s="39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</row>
    <row r="635" ht="15.75" customHeight="1">
      <c r="A635" s="39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</row>
    <row r="636" ht="15.75" customHeight="1">
      <c r="A636" s="39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</row>
    <row r="637" ht="15.75" customHeight="1">
      <c r="A637" s="39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</row>
    <row r="638" ht="15.75" customHeight="1">
      <c r="A638" s="39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</row>
    <row r="639" ht="15.75" customHeight="1">
      <c r="A639" s="39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</row>
    <row r="640" ht="15.75" customHeight="1">
      <c r="A640" s="39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</row>
    <row r="641" ht="15.75" customHeight="1">
      <c r="A641" s="39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</row>
    <row r="642" ht="15.75" customHeight="1">
      <c r="A642" s="39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</row>
    <row r="643" ht="15.75" customHeight="1">
      <c r="A643" s="39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</row>
    <row r="644" ht="15.75" customHeight="1">
      <c r="A644" s="39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</row>
    <row r="645" ht="15.75" customHeight="1">
      <c r="A645" s="39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</row>
    <row r="646" ht="15.75" customHeight="1">
      <c r="A646" s="39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</row>
    <row r="647" ht="15.75" customHeight="1">
      <c r="A647" s="39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</row>
    <row r="648" ht="15.75" customHeight="1">
      <c r="A648" s="39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</row>
    <row r="649" ht="15.75" customHeight="1">
      <c r="A649" s="39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</row>
    <row r="650" ht="15.75" customHeight="1">
      <c r="A650" s="39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</row>
    <row r="651" ht="15.75" customHeight="1">
      <c r="A651" s="39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</row>
    <row r="652" ht="15.75" customHeight="1">
      <c r="A652" s="39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</row>
    <row r="653" ht="15.75" customHeight="1">
      <c r="A653" s="39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</row>
    <row r="654" ht="15.75" customHeight="1">
      <c r="A654" s="39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</row>
    <row r="655" ht="15.75" customHeight="1">
      <c r="A655" s="39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</row>
    <row r="656" ht="15.75" customHeight="1">
      <c r="A656" s="39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</row>
    <row r="657" ht="15.75" customHeight="1">
      <c r="A657" s="39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</row>
    <row r="658" ht="15.75" customHeight="1">
      <c r="A658" s="39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</row>
    <row r="659" ht="15.75" customHeight="1">
      <c r="A659" s="39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</row>
    <row r="660" ht="15.75" customHeight="1">
      <c r="A660" s="39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</row>
    <row r="661" ht="15.75" customHeight="1">
      <c r="A661" s="39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</row>
    <row r="662" ht="15.75" customHeight="1">
      <c r="A662" s="39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</row>
    <row r="663" ht="15.75" customHeight="1">
      <c r="A663" s="39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</row>
    <row r="664" ht="15.75" customHeight="1">
      <c r="A664" s="39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</row>
    <row r="665" ht="15.75" customHeight="1">
      <c r="A665" s="39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</row>
    <row r="666" ht="15.75" customHeight="1">
      <c r="A666" s="39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</row>
    <row r="667" ht="15.75" customHeight="1">
      <c r="A667" s="39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</row>
    <row r="668" ht="15.75" customHeight="1">
      <c r="A668" s="39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</row>
    <row r="669" ht="15.75" customHeight="1">
      <c r="A669" s="39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</row>
    <row r="670" ht="15.75" customHeight="1">
      <c r="A670" s="39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</row>
    <row r="671" ht="15.75" customHeight="1">
      <c r="A671" s="39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</row>
    <row r="672" ht="15.75" customHeight="1">
      <c r="A672" s="39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</row>
    <row r="673" ht="15.75" customHeight="1">
      <c r="A673" s="39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</row>
    <row r="674" ht="15.75" customHeight="1">
      <c r="A674" s="39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</row>
    <row r="675" ht="15.75" customHeight="1">
      <c r="A675" s="39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</row>
    <row r="676" ht="15.75" customHeight="1">
      <c r="A676" s="39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</row>
    <row r="677" ht="15.75" customHeight="1">
      <c r="A677" s="39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</row>
    <row r="678" ht="15.75" customHeight="1">
      <c r="A678" s="39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</row>
    <row r="679" ht="15.75" customHeight="1">
      <c r="A679" s="39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</row>
    <row r="680" ht="15.75" customHeight="1">
      <c r="A680" s="39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</row>
    <row r="681" ht="15.75" customHeight="1">
      <c r="A681" s="39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</row>
    <row r="682" ht="15.75" customHeight="1">
      <c r="A682" s="39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</row>
    <row r="683" ht="15.75" customHeight="1">
      <c r="A683" s="39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</row>
    <row r="684" ht="15.75" customHeight="1">
      <c r="A684" s="39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</row>
    <row r="685" ht="15.75" customHeight="1">
      <c r="A685" s="39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</row>
    <row r="686" ht="15.75" customHeight="1">
      <c r="A686" s="39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</row>
    <row r="687" ht="15.75" customHeight="1">
      <c r="A687" s="39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</row>
    <row r="688" ht="15.75" customHeight="1">
      <c r="A688" s="39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</row>
    <row r="689" ht="15.75" customHeight="1">
      <c r="A689" s="39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</row>
    <row r="690" ht="15.75" customHeight="1">
      <c r="A690" s="39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</row>
    <row r="691" ht="15.75" customHeight="1">
      <c r="A691" s="39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</row>
    <row r="692" ht="15.75" customHeight="1">
      <c r="A692" s="39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</row>
    <row r="693" ht="15.75" customHeight="1">
      <c r="A693" s="39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</row>
    <row r="694" ht="15.75" customHeight="1">
      <c r="A694" s="39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</row>
    <row r="695" ht="15.75" customHeight="1">
      <c r="A695" s="39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</row>
    <row r="696" ht="15.75" customHeight="1">
      <c r="A696" s="39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</row>
    <row r="697" ht="15.75" customHeight="1">
      <c r="A697" s="39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</row>
    <row r="698" ht="15.75" customHeight="1">
      <c r="A698" s="39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</row>
    <row r="699" ht="15.75" customHeight="1">
      <c r="A699" s="39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</row>
    <row r="700" ht="15.75" customHeight="1">
      <c r="A700" s="39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</row>
    <row r="701" ht="15.75" customHeight="1">
      <c r="A701" s="39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</row>
    <row r="702" ht="15.75" customHeight="1">
      <c r="A702" s="39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</row>
    <row r="703" ht="15.75" customHeight="1">
      <c r="A703" s="39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</row>
    <row r="704" ht="15.75" customHeight="1">
      <c r="A704" s="39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</row>
    <row r="705" ht="15.75" customHeight="1">
      <c r="A705" s="39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</row>
    <row r="706" ht="15.75" customHeight="1">
      <c r="A706" s="39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</row>
    <row r="707" ht="15.75" customHeight="1">
      <c r="A707" s="39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</row>
    <row r="708" ht="15.75" customHeight="1">
      <c r="A708" s="39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</row>
    <row r="709" ht="15.75" customHeight="1">
      <c r="A709" s="39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</row>
    <row r="710" ht="15.75" customHeight="1">
      <c r="A710" s="39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</row>
    <row r="711" ht="15.75" customHeight="1">
      <c r="A711" s="39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</row>
    <row r="712" ht="15.75" customHeight="1">
      <c r="A712" s="39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</row>
    <row r="713" ht="15.75" customHeight="1">
      <c r="A713" s="39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</row>
    <row r="714" ht="15.75" customHeight="1">
      <c r="A714" s="39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</row>
    <row r="715" ht="15.75" customHeight="1">
      <c r="A715" s="39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</row>
    <row r="716" ht="15.75" customHeight="1">
      <c r="A716" s="39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</row>
    <row r="717" ht="15.75" customHeight="1">
      <c r="A717" s="39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</row>
    <row r="718" ht="15.75" customHeight="1">
      <c r="A718" s="39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</row>
    <row r="719" ht="15.75" customHeight="1">
      <c r="A719" s="39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</row>
    <row r="720" ht="15.75" customHeight="1">
      <c r="A720" s="39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</row>
    <row r="721" ht="15.75" customHeight="1">
      <c r="A721" s="39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</row>
    <row r="722" ht="15.75" customHeight="1">
      <c r="A722" s="39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</row>
    <row r="723" ht="15.75" customHeight="1">
      <c r="A723" s="39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</row>
    <row r="724" ht="15.75" customHeight="1">
      <c r="A724" s="39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</row>
    <row r="725" ht="15.75" customHeight="1">
      <c r="A725" s="39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</row>
    <row r="726" ht="15.75" customHeight="1">
      <c r="A726" s="39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</row>
    <row r="727" ht="15.75" customHeight="1">
      <c r="A727" s="39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</row>
    <row r="728" ht="15.75" customHeight="1">
      <c r="A728" s="39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</row>
    <row r="729" ht="15.75" customHeight="1">
      <c r="A729" s="39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</row>
    <row r="730" ht="15.75" customHeight="1">
      <c r="A730" s="39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</row>
    <row r="731" ht="15.75" customHeight="1">
      <c r="A731" s="39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</row>
    <row r="732" ht="15.75" customHeight="1">
      <c r="A732" s="39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</row>
    <row r="733" ht="15.75" customHeight="1">
      <c r="A733" s="39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</row>
    <row r="734" ht="15.75" customHeight="1">
      <c r="A734" s="39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</row>
    <row r="735" ht="15.75" customHeight="1">
      <c r="A735" s="39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</row>
    <row r="736" ht="15.75" customHeight="1">
      <c r="A736" s="39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</row>
    <row r="737" ht="15.75" customHeight="1">
      <c r="A737" s="39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</row>
    <row r="738" ht="15.75" customHeight="1">
      <c r="A738" s="39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</row>
    <row r="739" ht="15.75" customHeight="1">
      <c r="A739" s="39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</row>
    <row r="740" ht="15.75" customHeight="1">
      <c r="A740" s="39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</row>
    <row r="741" ht="15.75" customHeight="1">
      <c r="A741" s="39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</row>
    <row r="742" ht="15.75" customHeight="1">
      <c r="A742" s="39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</row>
    <row r="743" ht="15.75" customHeight="1">
      <c r="A743" s="39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</row>
    <row r="744" ht="15.75" customHeight="1">
      <c r="A744" s="39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</row>
    <row r="745" ht="15.75" customHeight="1">
      <c r="A745" s="39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</row>
    <row r="746" ht="15.75" customHeight="1">
      <c r="A746" s="39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</row>
    <row r="747" ht="15.75" customHeight="1">
      <c r="A747" s="39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</row>
    <row r="748" ht="15.75" customHeight="1">
      <c r="A748" s="39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</row>
    <row r="749" ht="15.75" customHeight="1">
      <c r="A749" s="39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</row>
    <row r="750" ht="15.75" customHeight="1">
      <c r="A750" s="39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</row>
    <row r="751" ht="15.75" customHeight="1">
      <c r="A751" s="39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</row>
    <row r="752" ht="15.75" customHeight="1">
      <c r="A752" s="39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</row>
    <row r="753" ht="15.75" customHeight="1">
      <c r="A753" s="39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</row>
    <row r="754" ht="15.75" customHeight="1">
      <c r="A754" s="39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</row>
    <row r="755" ht="15.75" customHeight="1">
      <c r="A755" s="39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</row>
    <row r="756" ht="15.75" customHeight="1">
      <c r="A756" s="39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</row>
    <row r="757" ht="15.75" customHeight="1">
      <c r="A757" s="39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</row>
    <row r="758" ht="15.75" customHeight="1">
      <c r="A758" s="39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</row>
    <row r="759" ht="15.75" customHeight="1">
      <c r="A759" s="39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</row>
    <row r="760" ht="15.75" customHeight="1">
      <c r="A760" s="39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</row>
    <row r="761" ht="15.75" customHeight="1">
      <c r="A761" s="39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</row>
    <row r="762" ht="15.75" customHeight="1">
      <c r="A762" s="39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</row>
    <row r="763" ht="15.75" customHeight="1">
      <c r="A763" s="39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</row>
    <row r="764" ht="15.75" customHeight="1">
      <c r="A764" s="39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</row>
    <row r="765" ht="15.75" customHeight="1">
      <c r="A765" s="39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</row>
    <row r="766" ht="15.75" customHeight="1">
      <c r="A766" s="39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</row>
    <row r="767" ht="15.75" customHeight="1">
      <c r="A767" s="39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</row>
    <row r="768" ht="15.75" customHeight="1">
      <c r="A768" s="39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</row>
    <row r="769" ht="15.75" customHeight="1">
      <c r="A769" s="39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</row>
    <row r="770" ht="15.75" customHeight="1">
      <c r="A770" s="39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</row>
    <row r="771" ht="15.75" customHeight="1">
      <c r="A771" s="39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</row>
    <row r="772" ht="15.75" customHeight="1">
      <c r="A772" s="39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</row>
    <row r="773" ht="15.75" customHeight="1">
      <c r="A773" s="39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</row>
    <row r="774" ht="15.75" customHeight="1">
      <c r="A774" s="39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</row>
    <row r="775" ht="15.75" customHeight="1">
      <c r="A775" s="39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</row>
    <row r="776" ht="15.75" customHeight="1">
      <c r="A776" s="39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</row>
    <row r="777" ht="15.75" customHeight="1">
      <c r="A777" s="39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</row>
    <row r="778" ht="15.75" customHeight="1">
      <c r="A778" s="39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</row>
    <row r="779" ht="15.75" customHeight="1">
      <c r="A779" s="39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</row>
    <row r="780" ht="15.75" customHeight="1">
      <c r="A780" s="39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</row>
    <row r="781" ht="15.75" customHeight="1">
      <c r="A781" s="39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</row>
    <row r="782" ht="15.75" customHeight="1">
      <c r="A782" s="39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</row>
    <row r="783" ht="15.75" customHeight="1">
      <c r="A783" s="39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</row>
    <row r="784" ht="15.75" customHeight="1">
      <c r="A784" s="39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</row>
    <row r="785" ht="15.75" customHeight="1">
      <c r="A785" s="39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</row>
    <row r="786" ht="15.75" customHeight="1">
      <c r="A786" s="39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</row>
    <row r="787" ht="15.75" customHeight="1">
      <c r="A787" s="39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</row>
    <row r="788" ht="15.75" customHeight="1">
      <c r="A788" s="39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</row>
    <row r="789" ht="15.75" customHeight="1">
      <c r="A789" s="39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</row>
    <row r="790" ht="15.75" customHeight="1">
      <c r="A790" s="39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</row>
    <row r="791" ht="15.75" customHeight="1">
      <c r="A791" s="39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</row>
    <row r="792" ht="15.75" customHeight="1">
      <c r="A792" s="39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</row>
    <row r="793" ht="15.75" customHeight="1">
      <c r="A793" s="39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</row>
    <row r="794" ht="15.75" customHeight="1">
      <c r="A794" s="39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</row>
    <row r="795" ht="15.75" customHeight="1">
      <c r="A795" s="39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</row>
    <row r="796" ht="15.75" customHeight="1">
      <c r="A796" s="39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</row>
    <row r="797" ht="15.75" customHeight="1">
      <c r="A797" s="39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</row>
    <row r="798" ht="15.75" customHeight="1">
      <c r="A798" s="39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</row>
    <row r="799" ht="15.75" customHeight="1">
      <c r="A799" s="39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</row>
    <row r="800" ht="15.75" customHeight="1">
      <c r="A800" s="39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</row>
    <row r="801" ht="15.75" customHeight="1">
      <c r="A801" s="39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</row>
    <row r="802" ht="15.75" customHeight="1">
      <c r="A802" s="39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</row>
    <row r="803" ht="15.75" customHeight="1">
      <c r="A803" s="39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</row>
    <row r="804" ht="15.75" customHeight="1">
      <c r="A804" s="39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</row>
    <row r="805" ht="15.75" customHeight="1">
      <c r="A805" s="39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</row>
    <row r="806" ht="15.75" customHeight="1">
      <c r="A806" s="39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</row>
    <row r="807" ht="15.75" customHeight="1">
      <c r="A807" s="39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</row>
    <row r="808" ht="15.75" customHeight="1">
      <c r="A808" s="39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</row>
    <row r="809" ht="15.75" customHeight="1">
      <c r="A809" s="39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</row>
    <row r="810" ht="15.75" customHeight="1">
      <c r="A810" s="39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</row>
    <row r="811" ht="15.75" customHeight="1">
      <c r="A811" s="39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</row>
    <row r="812" ht="15.75" customHeight="1">
      <c r="A812" s="39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</row>
    <row r="813" ht="15.75" customHeight="1">
      <c r="A813" s="39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</row>
    <row r="814" ht="15.75" customHeight="1">
      <c r="A814" s="39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</row>
    <row r="815" ht="15.75" customHeight="1">
      <c r="A815" s="39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</row>
    <row r="816" ht="15.75" customHeight="1">
      <c r="A816" s="39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</row>
    <row r="817" ht="15.75" customHeight="1">
      <c r="A817" s="39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</row>
    <row r="818" ht="15.75" customHeight="1">
      <c r="A818" s="39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</row>
    <row r="819" ht="15.75" customHeight="1">
      <c r="A819" s="39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</row>
    <row r="820" ht="15.75" customHeight="1">
      <c r="A820" s="39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</row>
    <row r="821" ht="15.75" customHeight="1">
      <c r="A821" s="39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</row>
    <row r="822" ht="15.75" customHeight="1">
      <c r="A822" s="39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</row>
    <row r="823" ht="15.75" customHeight="1">
      <c r="A823" s="39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</row>
    <row r="824" ht="15.75" customHeight="1">
      <c r="A824" s="39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</row>
    <row r="825" ht="15.75" customHeight="1">
      <c r="A825" s="39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</row>
    <row r="826" ht="15.75" customHeight="1">
      <c r="A826" s="39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</row>
    <row r="827" ht="15.75" customHeight="1">
      <c r="A827" s="39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</row>
    <row r="828" ht="15.75" customHeight="1">
      <c r="A828" s="39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</row>
    <row r="829" ht="15.75" customHeight="1">
      <c r="A829" s="39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</row>
    <row r="830" ht="15.75" customHeight="1">
      <c r="A830" s="39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</row>
    <row r="831" ht="15.75" customHeight="1">
      <c r="A831" s="39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</row>
    <row r="832" ht="15.75" customHeight="1">
      <c r="A832" s="39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</row>
    <row r="833" ht="15.75" customHeight="1">
      <c r="A833" s="39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</row>
    <row r="834" ht="15.75" customHeight="1">
      <c r="A834" s="39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</row>
    <row r="835" ht="15.75" customHeight="1">
      <c r="A835" s="39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</row>
    <row r="836" ht="15.75" customHeight="1">
      <c r="A836" s="39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</row>
    <row r="837" ht="15.75" customHeight="1">
      <c r="A837" s="39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</row>
    <row r="838" ht="15.75" customHeight="1">
      <c r="A838" s="39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</row>
    <row r="839" ht="15.75" customHeight="1">
      <c r="A839" s="39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</row>
    <row r="840" ht="15.75" customHeight="1">
      <c r="A840" s="39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</row>
    <row r="841" ht="15.75" customHeight="1">
      <c r="A841" s="39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</row>
    <row r="842" ht="15.75" customHeight="1">
      <c r="A842" s="39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</row>
    <row r="843" ht="15.75" customHeight="1">
      <c r="A843" s="39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</row>
    <row r="844" ht="15.75" customHeight="1">
      <c r="A844" s="39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</row>
    <row r="845" ht="15.75" customHeight="1">
      <c r="A845" s="39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</row>
    <row r="846" ht="15.75" customHeight="1">
      <c r="A846" s="39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</row>
    <row r="847" ht="15.75" customHeight="1">
      <c r="A847" s="39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</row>
    <row r="848" ht="15.75" customHeight="1">
      <c r="A848" s="39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</row>
    <row r="849" ht="15.75" customHeight="1">
      <c r="A849" s="39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</row>
    <row r="850" ht="15.75" customHeight="1">
      <c r="A850" s="39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</row>
    <row r="851" ht="15.75" customHeight="1">
      <c r="A851" s="39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</row>
    <row r="852" ht="15.75" customHeight="1">
      <c r="A852" s="39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</row>
    <row r="853" ht="15.75" customHeight="1">
      <c r="A853" s="39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</row>
    <row r="854" ht="15.75" customHeight="1">
      <c r="A854" s="39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</row>
    <row r="855" ht="15.75" customHeight="1">
      <c r="A855" s="39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</row>
    <row r="856" ht="15.75" customHeight="1">
      <c r="A856" s="39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</row>
    <row r="857" ht="15.75" customHeight="1">
      <c r="A857" s="39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</row>
    <row r="858" ht="15.75" customHeight="1">
      <c r="A858" s="39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</row>
    <row r="859" ht="15.75" customHeight="1">
      <c r="A859" s="39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</row>
    <row r="860" ht="15.75" customHeight="1">
      <c r="A860" s="39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</row>
    <row r="861" ht="15.75" customHeight="1">
      <c r="A861" s="39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</row>
    <row r="862" ht="15.75" customHeight="1">
      <c r="A862" s="39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</row>
    <row r="863" ht="15.75" customHeight="1">
      <c r="A863" s="39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</row>
    <row r="864" ht="15.75" customHeight="1">
      <c r="A864" s="39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</row>
    <row r="865" ht="15.75" customHeight="1">
      <c r="A865" s="39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</row>
    <row r="866" ht="15.75" customHeight="1">
      <c r="A866" s="39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</row>
    <row r="867" ht="15.75" customHeight="1">
      <c r="A867" s="39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</row>
    <row r="868" ht="15.75" customHeight="1">
      <c r="A868" s="39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</row>
    <row r="869" ht="15.75" customHeight="1">
      <c r="A869" s="39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</row>
    <row r="870" ht="15.75" customHeight="1">
      <c r="A870" s="39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</row>
    <row r="871" ht="15.75" customHeight="1">
      <c r="A871" s="39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</row>
    <row r="872" ht="15.75" customHeight="1">
      <c r="A872" s="39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</row>
    <row r="873" ht="15.75" customHeight="1">
      <c r="A873" s="39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</row>
    <row r="874" ht="15.75" customHeight="1">
      <c r="A874" s="39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</row>
    <row r="875" ht="15.75" customHeight="1">
      <c r="A875" s="39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</row>
    <row r="876" ht="15.75" customHeight="1">
      <c r="A876" s="39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</row>
    <row r="877" ht="15.75" customHeight="1">
      <c r="A877" s="39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</row>
    <row r="878" ht="15.75" customHeight="1">
      <c r="A878" s="39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</row>
    <row r="879" ht="15.75" customHeight="1">
      <c r="A879" s="39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</row>
    <row r="880" ht="15.75" customHeight="1">
      <c r="A880" s="39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</row>
    <row r="881" ht="15.75" customHeight="1">
      <c r="A881" s="39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</row>
    <row r="882" ht="15.75" customHeight="1">
      <c r="A882" s="39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</row>
    <row r="883" ht="15.75" customHeight="1">
      <c r="A883" s="39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</row>
    <row r="884" ht="15.75" customHeight="1">
      <c r="A884" s="39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</row>
    <row r="885" ht="15.75" customHeight="1">
      <c r="A885" s="39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</row>
    <row r="886" ht="15.75" customHeight="1">
      <c r="A886" s="39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</row>
    <row r="887" ht="15.75" customHeight="1">
      <c r="A887" s="39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</row>
    <row r="888" ht="15.75" customHeight="1">
      <c r="A888" s="39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</row>
    <row r="889" ht="15.75" customHeight="1">
      <c r="A889" s="39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</row>
    <row r="890" ht="15.75" customHeight="1">
      <c r="A890" s="39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</row>
    <row r="891" ht="15.75" customHeight="1">
      <c r="A891" s="39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</row>
    <row r="892" ht="15.75" customHeight="1">
      <c r="A892" s="39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</row>
    <row r="893" ht="15.75" customHeight="1">
      <c r="A893" s="39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</row>
    <row r="894" ht="15.75" customHeight="1">
      <c r="A894" s="39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</row>
    <row r="895" ht="15.75" customHeight="1">
      <c r="A895" s="39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</row>
    <row r="896" ht="15.75" customHeight="1">
      <c r="A896" s="39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</row>
    <row r="897" ht="15.75" customHeight="1">
      <c r="A897" s="39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</row>
    <row r="898" ht="15.75" customHeight="1">
      <c r="A898" s="39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</row>
    <row r="899" ht="15.75" customHeight="1">
      <c r="A899" s="39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  <c r="AA899" s="228"/>
    </row>
    <row r="900" ht="15.75" customHeight="1">
      <c r="A900" s="39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  <c r="AA900" s="228"/>
    </row>
    <row r="901" ht="15.75" customHeight="1">
      <c r="A901" s="39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  <c r="AA901" s="228"/>
    </row>
    <row r="902" ht="15.75" customHeight="1">
      <c r="A902" s="39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  <c r="AA902" s="228"/>
    </row>
    <row r="903" ht="15.75" customHeight="1">
      <c r="A903" s="39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  <c r="AA903" s="228"/>
    </row>
    <row r="904" ht="15.75" customHeight="1">
      <c r="A904" s="39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  <c r="AA904" s="228"/>
    </row>
    <row r="905" ht="15.75" customHeight="1">
      <c r="A905" s="39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  <c r="AA905" s="228"/>
    </row>
    <row r="906" ht="15.75" customHeight="1">
      <c r="A906" s="39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  <c r="AA906" s="228"/>
    </row>
    <row r="907" ht="15.75" customHeight="1">
      <c r="A907" s="39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  <c r="AA907" s="228"/>
    </row>
    <row r="908" ht="15.75" customHeight="1">
      <c r="A908" s="39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  <c r="AA908" s="228"/>
    </row>
    <row r="909" ht="15.75" customHeight="1">
      <c r="A909" s="39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  <c r="AA909" s="228"/>
    </row>
    <row r="910" ht="15.75" customHeight="1">
      <c r="A910" s="39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  <c r="AA910" s="228"/>
    </row>
    <row r="911" ht="15.75" customHeight="1">
      <c r="A911" s="39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  <c r="AA911" s="228"/>
    </row>
    <row r="912" ht="15.75" customHeight="1">
      <c r="A912" s="39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  <c r="AA912" s="228"/>
    </row>
    <row r="913" ht="15.75" customHeight="1">
      <c r="A913" s="39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  <c r="AA913" s="228"/>
    </row>
    <row r="914" ht="15.75" customHeight="1">
      <c r="A914" s="39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  <c r="AA914" s="228"/>
    </row>
    <row r="915" ht="15.75" customHeight="1">
      <c r="A915" s="39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  <c r="AA915" s="228"/>
    </row>
    <row r="916" ht="15.75" customHeight="1">
      <c r="A916" s="39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  <c r="AA916" s="228"/>
    </row>
    <row r="917" ht="15.75" customHeight="1">
      <c r="A917" s="39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  <c r="AA917" s="228"/>
    </row>
    <row r="918" ht="15.75" customHeight="1">
      <c r="A918" s="39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  <c r="AA918" s="228"/>
    </row>
    <row r="919" ht="15.75" customHeight="1">
      <c r="A919" s="39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  <c r="AA919" s="228"/>
    </row>
    <row r="920" ht="15.75" customHeight="1">
      <c r="A920" s="39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  <c r="AA920" s="228"/>
    </row>
    <row r="921" ht="15.75" customHeight="1">
      <c r="A921" s="39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  <c r="AA921" s="228"/>
    </row>
    <row r="922" ht="15.75" customHeight="1">
      <c r="A922" s="39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  <c r="AA922" s="228"/>
    </row>
    <row r="923" ht="15.75" customHeight="1">
      <c r="A923" s="39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  <c r="AA923" s="228"/>
    </row>
    <row r="924" ht="15.75" customHeight="1">
      <c r="A924" s="39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  <c r="AA924" s="228"/>
    </row>
    <row r="925" ht="15.75" customHeight="1">
      <c r="A925" s="39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  <c r="AA925" s="228"/>
    </row>
    <row r="926" ht="15.75" customHeight="1">
      <c r="A926" s="39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  <c r="AA926" s="228"/>
    </row>
    <row r="927" ht="15.75" customHeight="1">
      <c r="A927" s="39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  <c r="AA927" s="228"/>
    </row>
    <row r="928" ht="15.75" customHeight="1">
      <c r="A928" s="39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  <c r="AA928" s="228"/>
    </row>
    <row r="929" ht="15.75" customHeight="1">
      <c r="A929" s="39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  <c r="AA929" s="228"/>
    </row>
    <row r="930" ht="15.75" customHeight="1">
      <c r="A930" s="39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  <c r="AA930" s="228"/>
    </row>
    <row r="931" ht="15.75" customHeight="1">
      <c r="A931" s="39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  <c r="AA931" s="228"/>
    </row>
    <row r="932" ht="15.75" customHeight="1">
      <c r="A932" s="39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  <c r="AA932" s="228"/>
    </row>
    <row r="933" ht="15.75" customHeight="1">
      <c r="A933" s="39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  <c r="AA933" s="228"/>
    </row>
    <row r="934" ht="15.75" customHeight="1">
      <c r="A934" s="39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  <c r="AA934" s="228"/>
    </row>
    <row r="935" ht="15.75" customHeight="1">
      <c r="A935" s="39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  <c r="AA935" s="228"/>
    </row>
    <row r="936" ht="15.75" customHeight="1">
      <c r="A936" s="39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  <c r="AA936" s="228"/>
    </row>
    <row r="937" ht="15.75" customHeight="1">
      <c r="A937" s="39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  <c r="AA937" s="228"/>
    </row>
    <row r="938" ht="15.75" customHeight="1">
      <c r="A938" s="39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  <c r="AA938" s="228"/>
    </row>
    <row r="939" ht="15.75" customHeight="1">
      <c r="A939" s="39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  <c r="AA939" s="228"/>
    </row>
    <row r="940" ht="15.75" customHeight="1">
      <c r="A940" s="39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  <c r="AA940" s="228"/>
    </row>
    <row r="941" ht="15.75" customHeight="1">
      <c r="A941" s="39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  <c r="AA941" s="228"/>
    </row>
    <row r="942" ht="15.75" customHeight="1">
      <c r="A942" s="39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  <c r="AA942" s="228"/>
    </row>
    <row r="943" ht="15.75" customHeight="1">
      <c r="A943" s="39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  <c r="AA943" s="228"/>
    </row>
    <row r="944" ht="15.75" customHeight="1">
      <c r="A944" s="39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  <c r="AA944" s="228"/>
    </row>
    <row r="945" ht="15.75" customHeight="1">
      <c r="A945" s="39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  <c r="AA945" s="228"/>
    </row>
    <row r="946" ht="15.75" customHeight="1">
      <c r="A946" s="39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  <c r="AA946" s="228"/>
    </row>
    <row r="947" ht="15.75" customHeight="1">
      <c r="A947" s="39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  <c r="AA947" s="228"/>
    </row>
    <row r="948" ht="15.75" customHeight="1">
      <c r="A948" s="39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  <c r="AA948" s="228"/>
    </row>
    <row r="949" ht="15.75" customHeight="1">
      <c r="A949" s="39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  <c r="AA949" s="228"/>
    </row>
    <row r="950" ht="15.75" customHeight="1">
      <c r="A950" s="39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  <c r="AA950" s="228"/>
    </row>
    <row r="951" ht="15.75" customHeight="1">
      <c r="A951" s="39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  <c r="AA951" s="228"/>
    </row>
    <row r="952" ht="15.75" customHeight="1">
      <c r="A952" s="39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  <c r="AA952" s="228"/>
    </row>
    <row r="953" ht="15.75" customHeight="1">
      <c r="A953" s="39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  <c r="AA953" s="228"/>
    </row>
    <row r="954" ht="15.75" customHeight="1">
      <c r="A954" s="39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  <c r="AA954" s="228"/>
    </row>
    <row r="955" ht="15.75" customHeight="1">
      <c r="A955" s="39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  <c r="AA955" s="228"/>
    </row>
    <row r="956" ht="15.75" customHeight="1">
      <c r="A956" s="39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  <c r="AA956" s="228"/>
    </row>
    <row r="957" ht="15.75" customHeight="1">
      <c r="A957" s="39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  <c r="AA957" s="228"/>
    </row>
    <row r="958" ht="15.75" customHeight="1">
      <c r="A958" s="39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  <c r="AA958" s="228"/>
    </row>
    <row r="959" ht="15.75" customHeight="1">
      <c r="A959" s="39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  <c r="AA959" s="228"/>
    </row>
    <row r="960" ht="15.75" customHeight="1">
      <c r="A960" s="39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  <c r="AA960" s="228"/>
    </row>
    <row r="961" ht="15.75" customHeight="1">
      <c r="A961" s="39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  <c r="AA961" s="228"/>
    </row>
    <row r="962" ht="15.75" customHeight="1">
      <c r="A962" s="39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  <c r="AA962" s="228"/>
    </row>
    <row r="963" ht="15.75" customHeight="1">
      <c r="A963" s="39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  <c r="AA963" s="228"/>
    </row>
    <row r="964" ht="15.75" customHeight="1">
      <c r="A964" s="39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  <c r="AA964" s="228"/>
    </row>
    <row r="965" ht="15.75" customHeight="1">
      <c r="A965" s="39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  <c r="AA965" s="228"/>
    </row>
    <row r="966" ht="15.75" customHeight="1">
      <c r="A966" s="39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  <c r="AA966" s="228"/>
    </row>
    <row r="967" ht="15.75" customHeight="1">
      <c r="A967" s="39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  <c r="AA967" s="228"/>
    </row>
    <row r="968" ht="15.75" customHeight="1">
      <c r="A968" s="39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  <c r="AA968" s="228"/>
    </row>
    <row r="969" ht="15.75" customHeight="1">
      <c r="A969" s="39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  <c r="AA969" s="228"/>
    </row>
    <row r="970" ht="15.75" customHeight="1">
      <c r="A970" s="39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  <c r="AA970" s="228"/>
    </row>
    <row r="971" ht="15.75" customHeight="1">
      <c r="A971" s="39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  <c r="AA971" s="228"/>
    </row>
    <row r="972" ht="15.75" customHeight="1">
      <c r="A972" s="39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  <c r="AA972" s="228"/>
    </row>
    <row r="973" ht="15.75" customHeight="1">
      <c r="A973" s="39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  <c r="AA973" s="228"/>
    </row>
    <row r="974" ht="15.75" customHeight="1">
      <c r="A974" s="39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  <c r="AA974" s="228"/>
    </row>
    <row r="975" ht="15.75" customHeight="1">
      <c r="A975" s="39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  <c r="AA975" s="228"/>
    </row>
    <row r="976" ht="15.75" customHeight="1">
      <c r="A976" s="39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  <c r="AA976" s="228"/>
    </row>
    <row r="977" ht="15.75" customHeight="1">
      <c r="A977" s="39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  <c r="AA977" s="228"/>
    </row>
    <row r="978" ht="15.75" customHeight="1">
      <c r="A978" s="39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  <c r="AA978" s="228"/>
    </row>
    <row r="979" ht="15.75" customHeight="1">
      <c r="A979" s="39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  <c r="AA979" s="228"/>
    </row>
    <row r="980" ht="15.75" customHeight="1">
      <c r="A980" s="39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  <c r="AA980" s="228"/>
    </row>
    <row r="981" ht="15.75" customHeight="1">
      <c r="A981" s="39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  <c r="AA981" s="228"/>
    </row>
    <row r="982" ht="15.75" customHeight="1">
      <c r="A982" s="39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  <c r="AA982" s="228"/>
    </row>
    <row r="983" ht="15.75" customHeight="1">
      <c r="A983" s="39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  <c r="AA983" s="228"/>
    </row>
    <row r="984" ht="15.75" customHeight="1">
      <c r="A984" s="39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  <c r="AA984" s="228"/>
    </row>
    <row r="985" ht="15.75" customHeight="1">
      <c r="A985" s="39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  <c r="AA985" s="228"/>
    </row>
    <row r="986" ht="15.75" customHeight="1">
      <c r="A986" s="39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  <c r="AA986" s="228"/>
    </row>
    <row r="987" ht="15.75" customHeight="1">
      <c r="A987" s="39"/>
      <c r="B987" s="228"/>
      <c r="C987" s="228"/>
      <c r="D987" s="228"/>
      <c r="E987" s="22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  <c r="AA987" s="228"/>
    </row>
    <row r="988" ht="15.75" customHeight="1">
      <c r="A988" s="39"/>
      <c r="B988" s="228"/>
      <c r="C988" s="228"/>
      <c r="D988" s="228"/>
      <c r="E988" s="22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  <c r="AA988" s="228"/>
    </row>
    <row r="989" ht="15.75" customHeight="1">
      <c r="A989" s="39"/>
      <c r="B989" s="228"/>
      <c r="C989" s="228"/>
      <c r="D989" s="228"/>
      <c r="E989" s="22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  <c r="AA989" s="228"/>
    </row>
    <row r="990" ht="15.75" customHeight="1">
      <c r="A990" s="39"/>
      <c r="B990" s="228"/>
      <c r="C990" s="228"/>
      <c r="D990" s="228"/>
      <c r="E990" s="22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  <c r="AA990" s="228"/>
    </row>
    <row r="991" ht="15.75" customHeight="1">
      <c r="A991" s="39"/>
      <c r="B991" s="228"/>
      <c r="C991" s="228"/>
      <c r="D991" s="228"/>
      <c r="E991" s="22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  <c r="AA991" s="228"/>
    </row>
    <row r="992" ht="15.75" customHeight="1">
      <c r="A992" s="39"/>
      <c r="B992" s="228"/>
      <c r="C992" s="228"/>
      <c r="D992" s="228"/>
      <c r="E992" s="228"/>
      <c r="F992" s="228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  <c r="AA992" s="228"/>
    </row>
    <row r="993" ht="15.75" customHeight="1">
      <c r="A993" s="39"/>
      <c r="B993" s="228"/>
      <c r="C993" s="228"/>
      <c r="D993" s="228"/>
      <c r="E993" s="228"/>
      <c r="F993" s="228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  <c r="AA993" s="228"/>
    </row>
    <row r="994" ht="15.75" customHeight="1">
      <c r="A994" s="39"/>
      <c r="B994" s="228"/>
      <c r="C994" s="228"/>
      <c r="D994" s="228"/>
      <c r="E994" s="228"/>
      <c r="F994" s="228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  <c r="AA994" s="228"/>
    </row>
    <row r="995" ht="15.75" customHeight="1">
      <c r="A995" s="39"/>
      <c r="B995" s="228"/>
      <c r="C995" s="228"/>
      <c r="D995" s="228"/>
      <c r="E995" s="228"/>
      <c r="F995" s="228"/>
      <c r="G995" s="228"/>
      <c r="H995" s="228"/>
      <c r="I995" s="228"/>
      <c r="J995" s="228"/>
      <c r="K995" s="228"/>
      <c r="L995" s="228"/>
      <c r="M995" s="228"/>
      <c r="N995" s="228"/>
      <c r="O995" s="228"/>
      <c r="P995" s="228"/>
      <c r="Q995" s="228"/>
      <c r="R995" s="228"/>
      <c r="S995" s="228"/>
      <c r="T995" s="228"/>
      <c r="U995" s="228"/>
      <c r="V995" s="228"/>
      <c r="W995" s="228"/>
      <c r="X995" s="228"/>
      <c r="Y995" s="228"/>
      <c r="Z995" s="228"/>
      <c r="AA995" s="228"/>
    </row>
    <row r="996" ht="15.75" customHeight="1">
      <c r="A996" s="39"/>
      <c r="B996" s="228"/>
      <c r="C996" s="228"/>
      <c r="D996" s="228"/>
      <c r="E996" s="228"/>
      <c r="F996" s="228"/>
      <c r="G996" s="228"/>
      <c r="H996" s="228"/>
      <c r="I996" s="228"/>
      <c r="J996" s="228"/>
      <c r="K996" s="228"/>
      <c r="L996" s="228"/>
      <c r="M996" s="228"/>
      <c r="N996" s="228"/>
      <c r="O996" s="228"/>
      <c r="P996" s="228"/>
      <c r="Q996" s="228"/>
      <c r="R996" s="228"/>
      <c r="S996" s="228"/>
      <c r="T996" s="228"/>
      <c r="U996" s="228"/>
      <c r="V996" s="228"/>
      <c r="W996" s="228"/>
      <c r="X996" s="228"/>
      <c r="Y996" s="228"/>
      <c r="Z996" s="228"/>
      <c r="AA996" s="228"/>
    </row>
    <row r="997" ht="15.75" customHeight="1">
      <c r="A997" s="39"/>
      <c r="B997" s="228"/>
      <c r="C997" s="228"/>
      <c r="D997" s="228"/>
      <c r="E997" s="228"/>
      <c r="F997" s="228"/>
      <c r="G997" s="228"/>
      <c r="H997" s="228"/>
      <c r="I997" s="228"/>
      <c r="J997" s="228"/>
      <c r="K997" s="228"/>
      <c r="L997" s="228"/>
      <c r="M997" s="228"/>
      <c r="N997" s="228"/>
      <c r="O997" s="228"/>
      <c r="P997" s="228"/>
      <c r="Q997" s="228"/>
      <c r="R997" s="228"/>
      <c r="S997" s="228"/>
      <c r="T997" s="228"/>
      <c r="U997" s="228"/>
      <c r="V997" s="228"/>
      <c r="W997" s="228"/>
      <c r="X997" s="228"/>
      <c r="Y997" s="228"/>
      <c r="Z997" s="228"/>
      <c r="AA997" s="228"/>
    </row>
    <row r="998" ht="15.75" customHeight="1">
      <c r="A998" s="39"/>
      <c r="B998" s="228"/>
      <c r="C998" s="228"/>
      <c r="D998" s="228"/>
      <c r="E998" s="228"/>
      <c r="F998" s="228"/>
      <c r="G998" s="228"/>
      <c r="H998" s="228"/>
      <c r="I998" s="228"/>
      <c r="J998" s="228"/>
      <c r="K998" s="228"/>
      <c r="L998" s="228"/>
      <c r="M998" s="228"/>
      <c r="N998" s="228"/>
      <c r="O998" s="228"/>
      <c r="P998" s="228"/>
      <c r="Q998" s="228"/>
      <c r="R998" s="228"/>
      <c r="S998" s="228"/>
      <c r="T998" s="228"/>
      <c r="U998" s="228"/>
      <c r="V998" s="228"/>
      <c r="W998" s="228"/>
      <c r="X998" s="228"/>
      <c r="Y998" s="228"/>
      <c r="Z998" s="228"/>
      <c r="AA998" s="228"/>
    </row>
    <row r="999" ht="15.75" customHeight="1">
      <c r="A999" s="39"/>
      <c r="B999" s="228"/>
      <c r="C999" s="228"/>
      <c r="D999" s="228"/>
      <c r="E999" s="228"/>
      <c r="F999" s="228"/>
      <c r="G999" s="228"/>
      <c r="H999" s="228"/>
      <c r="I999" s="228"/>
      <c r="J999" s="228"/>
      <c r="K999" s="228"/>
      <c r="L999" s="228"/>
      <c r="M999" s="228"/>
      <c r="N999" s="228"/>
      <c r="O999" s="228"/>
      <c r="P999" s="228"/>
      <c r="Q999" s="228"/>
      <c r="R999" s="228"/>
      <c r="S999" s="228"/>
      <c r="T999" s="228"/>
      <c r="U999" s="228"/>
      <c r="V999" s="228"/>
      <c r="W999" s="228"/>
      <c r="X999" s="228"/>
      <c r="Y999" s="228"/>
      <c r="Z999" s="228"/>
      <c r="AA999" s="228"/>
    </row>
    <row r="1000" ht="15.75" customHeight="1">
      <c r="A1000" s="39"/>
      <c r="B1000" s="228"/>
      <c r="C1000" s="228"/>
      <c r="D1000" s="228"/>
      <c r="E1000" s="228"/>
      <c r="F1000" s="228"/>
      <c r="G1000" s="228"/>
      <c r="H1000" s="228"/>
      <c r="I1000" s="228"/>
      <c r="J1000" s="228"/>
      <c r="K1000" s="228"/>
      <c r="L1000" s="228"/>
      <c r="M1000" s="228"/>
      <c r="N1000" s="228"/>
      <c r="O1000" s="228"/>
      <c r="P1000" s="228"/>
      <c r="Q1000" s="228"/>
      <c r="R1000" s="228"/>
      <c r="S1000" s="228"/>
      <c r="T1000" s="228"/>
      <c r="U1000" s="228"/>
      <c r="V1000" s="228"/>
      <c r="W1000" s="228"/>
      <c r="X1000" s="228"/>
      <c r="Y1000" s="228"/>
      <c r="Z1000" s="228"/>
      <c r="AA1000" s="228"/>
    </row>
    <row r="1001" ht="15.75" customHeight="1">
      <c r="A1001" s="39"/>
      <c r="B1001" s="228"/>
      <c r="C1001" s="228"/>
      <c r="D1001" s="228"/>
      <c r="E1001" s="228"/>
      <c r="F1001" s="228"/>
      <c r="G1001" s="228"/>
      <c r="H1001" s="228"/>
      <c r="I1001" s="228"/>
      <c r="J1001" s="228"/>
      <c r="K1001" s="228"/>
      <c r="L1001" s="228"/>
      <c r="M1001" s="228"/>
      <c r="N1001" s="228"/>
      <c r="O1001" s="228"/>
      <c r="P1001" s="228"/>
      <c r="Q1001" s="228"/>
      <c r="R1001" s="228"/>
      <c r="S1001" s="228"/>
      <c r="T1001" s="228"/>
      <c r="U1001" s="228"/>
      <c r="V1001" s="228"/>
      <c r="W1001" s="228"/>
      <c r="X1001" s="228"/>
      <c r="Y1001" s="228"/>
      <c r="Z1001" s="228"/>
      <c r="AA1001" s="228"/>
    </row>
    <row r="1002" ht="15.75" customHeight="1">
      <c r="A1002" s="39"/>
      <c r="B1002" s="228"/>
      <c r="C1002" s="228"/>
      <c r="D1002" s="228"/>
      <c r="E1002" s="228"/>
      <c r="F1002" s="228"/>
      <c r="G1002" s="228"/>
      <c r="H1002" s="228"/>
      <c r="I1002" s="228"/>
      <c r="J1002" s="228"/>
      <c r="K1002" s="228"/>
      <c r="L1002" s="228"/>
      <c r="M1002" s="228"/>
      <c r="N1002" s="228"/>
      <c r="O1002" s="228"/>
      <c r="P1002" s="228"/>
      <c r="Q1002" s="228"/>
      <c r="R1002" s="228"/>
      <c r="S1002" s="228"/>
      <c r="T1002" s="228"/>
      <c r="U1002" s="228"/>
      <c r="V1002" s="228"/>
      <c r="W1002" s="228"/>
      <c r="X1002" s="228"/>
      <c r="Y1002" s="228"/>
      <c r="Z1002" s="228"/>
      <c r="AA1002" s="228"/>
    </row>
    <row r="1003" ht="15.75" customHeight="1">
      <c r="A1003" s="39"/>
      <c r="B1003" s="228"/>
      <c r="C1003" s="228"/>
      <c r="D1003" s="228"/>
      <c r="E1003" s="228"/>
      <c r="F1003" s="228"/>
      <c r="G1003" s="228"/>
      <c r="H1003" s="228"/>
      <c r="I1003" s="228"/>
      <c r="J1003" s="228"/>
      <c r="K1003" s="228"/>
      <c r="L1003" s="228"/>
      <c r="M1003" s="228"/>
      <c r="N1003" s="228"/>
      <c r="O1003" s="228"/>
      <c r="P1003" s="228"/>
      <c r="Q1003" s="228"/>
      <c r="R1003" s="228"/>
      <c r="S1003" s="228"/>
      <c r="T1003" s="228"/>
      <c r="U1003" s="228"/>
      <c r="V1003" s="228"/>
      <c r="W1003" s="228"/>
      <c r="X1003" s="228"/>
      <c r="Y1003" s="228"/>
      <c r="Z1003" s="228"/>
      <c r="AA1003" s="228"/>
    </row>
    <row r="1004" ht="15.75" customHeight="1">
      <c r="A1004" s="39"/>
      <c r="B1004" s="228"/>
      <c r="C1004" s="228"/>
      <c r="D1004" s="228"/>
      <c r="E1004" s="228"/>
      <c r="F1004" s="228"/>
      <c r="G1004" s="228"/>
      <c r="H1004" s="228"/>
      <c r="I1004" s="228"/>
      <c r="J1004" s="228"/>
      <c r="K1004" s="228"/>
      <c r="L1004" s="228"/>
      <c r="M1004" s="228"/>
      <c r="N1004" s="228"/>
      <c r="O1004" s="228"/>
      <c r="P1004" s="228"/>
      <c r="Q1004" s="228"/>
      <c r="R1004" s="228"/>
      <c r="S1004" s="228"/>
      <c r="T1004" s="228"/>
      <c r="U1004" s="228"/>
      <c r="V1004" s="228"/>
      <c r="W1004" s="228"/>
      <c r="X1004" s="228"/>
      <c r="Y1004" s="228"/>
      <c r="Z1004" s="228"/>
      <c r="AA1004" s="228"/>
    </row>
    <row r="1005" ht="15.75" customHeight="1">
      <c r="A1005" s="39"/>
      <c r="B1005" s="228"/>
      <c r="C1005" s="228"/>
      <c r="D1005" s="228"/>
      <c r="E1005" s="228"/>
      <c r="F1005" s="228"/>
      <c r="G1005" s="228"/>
      <c r="H1005" s="228"/>
      <c r="I1005" s="228"/>
      <c r="J1005" s="228"/>
      <c r="K1005" s="228"/>
      <c r="L1005" s="228"/>
      <c r="M1005" s="228"/>
      <c r="N1005" s="228"/>
      <c r="O1005" s="228"/>
      <c r="P1005" s="228"/>
      <c r="Q1005" s="228"/>
      <c r="R1005" s="228"/>
      <c r="S1005" s="228"/>
      <c r="T1005" s="228"/>
      <c r="U1005" s="228"/>
      <c r="V1005" s="228"/>
      <c r="W1005" s="228"/>
      <c r="X1005" s="228"/>
      <c r="Y1005" s="228"/>
      <c r="Z1005" s="228"/>
      <c r="AA1005" s="228"/>
    </row>
    <row r="1006" ht="15.75" customHeight="1">
      <c r="A1006" s="39"/>
      <c r="B1006" s="228"/>
      <c r="C1006" s="228"/>
      <c r="D1006" s="228"/>
      <c r="E1006" s="228"/>
      <c r="F1006" s="228"/>
      <c r="G1006" s="228"/>
      <c r="H1006" s="228"/>
      <c r="I1006" s="228"/>
      <c r="J1006" s="228"/>
      <c r="K1006" s="228"/>
      <c r="L1006" s="228"/>
      <c r="M1006" s="228"/>
      <c r="N1006" s="228"/>
      <c r="O1006" s="228"/>
      <c r="P1006" s="228"/>
      <c r="Q1006" s="228"/>
      <c r="R1006" s="228"/>
      <c r="S1006" s="228"/>
      <c r="T1006" s="228"/>
      <c r="U1006" s="228"/>
      <c r="V1006" s="228"/>
      <c r="W1006" s="228"/>
      <c r="X1006" s="228"/>
      <c r="Y1006" s="228"/>
      <c r="Z1006" s="228"/>
      <c r="AA1006" s="228"/>
    </row>
    <row r="1007" ht="15.75" customHeight="1">
      <c r="A1007" s="39"/>
      <c r="B1007" s="228"/>
      <c r="C1007" s="228"/>
      <c r="D1007" s="228"/>
      <c r="E1007" s="228"/>
      <c r="F1007" s="228"/>
      <c r="G1007" s="228"/>
      <c r="H1007" s="228"/>
      <c r="I1007" s="228"/>
      <c r="J1007" s="228"/>
      <c r="K1007" s="228"/>
      <c r="L1007" s="228"/>
      <c r="M1007" s="228"/>
      <c r="N1007" s="228"/>
      <c r="O1007" s="228"/>
      <c r="P1007" s="228"/>
      <c r="Q1007" s="228"/>
      <c r="R1007" s="228"/>
      <c r="S1007" s="228"/>
      <c r="T1007" s="228"/>
      <c r="U1007" s="228"/>
      <c r="V1007" s="228"/>
      <c r="W1007" s="228"/>
      <c r="X1007" s="228"/>
      <c r="Y1007" s="228"/>
      <c r="Z1007" s="228"/>
      <c r="AA1007" s="228"/>
    </row>
    <row r="1008" ht="15.75" customHeight="1">
      <c r="A1008" s="39"/>
      <c r="B1008" s="228"/>
      <c r="C1008" s="228"/>
      <c r="D1008" s="228"/>
      <c r="E1008" s="228"/>
      <c r="F1008" s="228"/>
      <c r="G1008" s="228"/>
      <c r="H1008" s="228"/>
      <c r="I1008" s="228"/>
      <c r="J1008" s="228"/>
      <c r="K1008" s="228"/>
      <c r="L1008" s="228"/>
      <c r="M1008" s="228"/>
      <c r="N1008" s="228"/>
      <c r="O1008" s="228"/>
      <c r="P1008" s="228"/>
      <c r="Q1008" s="228"/>
      <c r="R1008" s="228"/>
      <c r="S1008" s="228"/>
      <c r="T1008" s="228"/>
      <c r="U1008" s="228"/>
      <c r="V1008" s="228"/>
      <c r="W1008" s="228"/>
      <c r="X1008" s="228"/>
      <c r="Y1008" s="228"/>
      <c r="Z1008" s="228"/>
      <c r="AA1008" s="22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9.75"/>
    <col customWidth="1" min="3" max="3" width="13.75"/>
    <col customWidth="1" min="4" max="4" width="10.88"/>
    <col customWidth="1" min="5" max="5" width="16.25"/>
    <col customWidth="1" min="6" max="6" width="28.63"/>
    <col customWidth="1" min="7" max="7" width="27.25"/>
    <col customWidth="1" min="8" max="26" width="19.88"/>
  </cols>
  <sheetData>
    <row r="1">
      <c r="A1" s="237"/>
      <c r="B1" s="7" t="s">
        <v>1</v>
      </c>
      <c r="C1" s="7" t="s">
        <v>3</v>
      </c>
      <c r="D1" s="15" t="s">
        <v>548</v>
      </c>
      <c r="E1" s="15" t="s">
        <v>8</v>
      </c>
      <c r="F1" s="17" t="s">
        <v>9</v>
      </c>
      <c r="G1" s="3" t="s">
        <v>15</v>
      </c>
      <c r="H1" s="3" t="s">
        <v>19</v>
      </c>
      <c r="I1" s="19" t="s">
        <v>17</v>
      </c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</row>
    <row r="2">
      <c r="A2" s="237">
        <v>1.0</v>
      </c>
      <c r="B2" s="193" t="s">
        <v>32</v>
      </c>
      <c r="C2" s="238" t="s">
        <v>239</v>
      </c>
      <c r="D2" s="16" t="s">
        <v>45</v>
      </c>
      <c r="E2" s="98" t="s">
        <v>549</v>
      </c>
      <c r="F2" s="239" t="s">
        <v>37</v>
      </c>
      <c r="G2" s="20" t="s">
        <v>551</v>
      </c>
      <c r="H2" s="35"/>
      <c r="I2" s="196" t="s">
        <v>552</v>
      </c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</row>
    <row r="3">
      <c r="A3" s="237">
        <v>2.0</v>
      </c>
      <c r="B3" s="193" t="s">
        <v>32</v>
      </c>
      <c r="C3" s="238" t="s">
        <v>554</v>
      </c>
      <c r="D3" s="16" t="s">
        <v>45</v>
      </c>
      <c r="E3" s="39" t="s">
        <v>556</v>
      </c>
      <c r="F3" s="239" t="s">
        <v>122</v>
      </c>
      <c r="G3" s="20" t="s">
        <v>557</v>
      </c>
      <c r="H3" s="35"/>
      <c r="I3" s="196" t="s">
        <v>558</v>
      </c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>
      <c r="A4" s="237">
        <v>3.0</v>
      </c>
      <c r="B4" s="193" t="s">
        <v>32</v>
      </c>
      <c r="C4" s="238" t="s">
        <v>242</v>
      </c>
      <c r="D4" s="16" t="s">
        <v>45</v>
      </c>
      <c r="E4" s="98" t="s">
        <v>220</v>
      </c>
      <c r="F4" s="239" t="s">
        <v>37</v>
      </c>
      <c r="G4" s="20" t="s">
        <v>559</v>
      </c>
      <c r="H4" s="35"/>
      <c r="I4" s="196" t="s">
        <v>560</v>
      </c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</row>
    <row r="5">
      <c r="A5" s="237">
        <v>4.0</v>
      </c>
      <c r="B5" s="193" t="s">
        <v>32</v>
      </c>
      <c r="C5" s="248" t="s">
        <v>561</v>
      </c>
      <c r="D5" s="16" t="s">
        <v>45</v>
      </c>
      <c r="E5" s="98" t="s">
        <v>562</v>
      </c>
      <c r="F5" s="249" t="s">
        <v>369</v>
      </c>
      <c r="G5" s="250" t="s">
        <v>563</v>
      </c>
      <c r="H5" s="35"/>
      <c r="I5" s="196" t="s">
        <v>564</v>
      </c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>
      <c r="A6" s="237">
        <v>5.0</v>
      </c>
      <c r="B6" s="193" t="s">
        <v>32</v>
      </c>
      <c r="C6" s="194" t="s">
        <v>243</v>
      </c>
      <c r="D6" s="16" t="s">
        <v>45</v>
      </c>
      <c r="E6" s="98" t="s">
        <v>457</v>
      </c>
      <c r="F6" s="131" t="s">
        <v>37</v>
      </c>
      <c r="G6" s="42" t="s">
        <v>566</v>
      </c>
      <c r="H6" s="53"/>
      <c r="I6" s="196" t="s">
        <v>568</v>
      </c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>
      <c r="A7" s="237">
        <v>6.0</v>
      </c>
      <c r="B7" s="193" t="s">
        <v>32</v>
      </c>
      <c r="C7" s="238" t="s">
        <v>245</v>
      </c>
      <c r="D7" s="16" t="s">
        <v>45</v>
      </c>
      <c r="E7" s="98" t="s">
        <v>454</v>
      </c>
      <c r="F7" s="131" t="s">
        <v>20</v>
      </c>
      <c r="G7" s="42" t="s">
        <v>571</v>
      </c>
      <c r="H7" s="16"/>
      <c r="I7" s="56" t="s">
        <v>572</v>
      </c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>
      <c r="A8" s="237">
        <v>7.0</v>
      </c>
      <c r="B8" s="193" t="s">
        <v>32</v>
      </c>
      <c r="C8" s="238" t="s">
        <v>247</v>
      </c>
      <c r="D8" s="16" t="s">
        <v>45</v>
      </c>
      <c r="E8" s="16" t="s">
        <v>98</v>
      </c>
      <c r="F8" s="131" t="s">
        <v>20</v>
      </c>
      <c r="G8" s="42" t="s">
        <v>573</v>
      </c>
      <c r="H8" s="16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>
      <c r="A9" s="237">
        <v>8.0</v>
      </c>
      <c r="B9" s="193" t="s">
        <v>32</v>
      </c>
      <c r="C9" s="256" t="s">
        <v>250</v>
      </c>
      <c r="D9" s="16" t="s">
        <v>495</v>
      </c>
      <c r="E9" s="98" t="s">
        <v>98</v>
      </c>
      <c r="F9" s="131" t="s">
        <v>40</v>
      </c>
      <c r="G9" s="42" t="s">
        <v>571</v>
      </c>
      <c r="H9" s="16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>
      <c r="A10" s="237">
        <v>9.0</v>
      </c>
      <c r="B10" s="193" t="s">
        <v>32</v>
      </c>
      <c r="C10" s="238" t="s">
        <v>251</v>
      </c>
      <c r="D10" s="16" t="s">
        <v>495</v>
      </c>
      <c r="E10" s="98" t="s">
        <v>98</v>
      </c>
      <c r="F10" s="239" t="s">
        <v>40</v>
      </c>
      <c r="G10" s="42" t="s">
        <v>571</v>
      </c>
      <c r="H10" s="16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>
      <c r="A11" s="237">
        <v>10.0</v>
      </c>
      <c r="B11" s="193" t="s">
        <v>32</v>
      </c>
      <c r="C11" s="260" t="s">
        <v>252</v>
      </c>
      <c r="D11" s="20" t="s">
        <v>177</v>
      </c>
      <c r="E11" s="16" t="s">
        <v>98</v>
      </c>
      <c r="F11" s="239" t="s">
        <v>40</v>
      </c>
      <c r="G11" s="42" t="s">
        <v>571</v>
      </c>
      <c r="H11" s="16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>
      <c r="A12" s="237">
        <v>11.0</v>
      </c>
      <c r="B12" s="193" t="s">
        <v>32</v>
      </c>
      <c r="C12" s="238" t="s">
        <v>256</v>
      </c>
      <c r="D12" s="16" t="s">
        <v>495</v>
      </c>
      <c r="E12" s="98" t="s">
        <v>98</v>
      </c>
      <c r="F12" s="131" t="s">
        <v>40</v>
      </c>
      <c r="G12" s="42" t="s">
        <v>571</v>
      </c>
      <c r="H12" s="16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>
      <c r="A13" s="237">
        <v>12.0</v>
      </c>
      <c r="B13" s="193" t="s">
        <v>32</v>
      </c>
      <c r="C13" s="262" t="s">
        <v>578</v>
      </c>
      <c r="D13" s="16" t="s">
        <v>495</v>
      </c>
      <c r="E13" s="98" t="s">
        <v>98</v>
      </c>
      <c r="F13" s="239" t="s">
        <v>369</v>
      </c>
      <c r="G13" s="42" t="s">
        <v>571</v>
      </c>
      <c r="H13" s="16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>
      <c r="A14" s="237">
        <v>13.0</v>
      </c>
      <c r="B14" s="193" t="s">
        <v>32</v>
      </c>
      <c r="C14" s="238" t="s">
        <v>579</v>
      </c>
      <c r="D14" s="16" t="s">
        <v>495</v>
      </c>
      <c r="E14" s="264" t="s">
        <v>98</v>
      </c>
      <c r="F14" s="239" t="s">
        <v>369</v>
      </c>
      <c r="G14" s="42" t="s">
        <v>571</v>
      </c>
      <c r="H14" s="16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>
      <c r="A15" s="237">
        <v>14.0</v>
      </c>
      <c r="B15" s="193" t="s">
        <v>32</v>
      </c>
      <c r="C15" s="238" t="s">
        <v>584</v>
      </c>
      <c r="D15" s="16" t="s">
        <v>495</v>
      </c>
      <c r="E15" s="98" t="s">
        <v>98</v>
      </c>
      <c r="F15" s="239" t="s">
        <v>369</v>
      </c>
      <c r="G15" s="42" t="s">
        <v>571</v>
      </c>
      <c r="H15" s="16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>
      <c r="A16" s="237">
        <v>15.0</v>
      </c>
      <c r="B16" s="193" t="s">
        <v>32</v>
      </c>
      <c r="C16" s="238" t="s">
        <v>589</v>
      </c>
      <c r="D16" s="16" t="s">
        <v>495</v>
      </c>
      <c r="E16" s="98" t="s">
        <v>98</v>
      </c>
      <c r="F16" s="239" t="s">
        <v>369</v>
      </c>
      <c r="G16" s="42" t="s">
        <v>571</v>
      </c>
      <c r="H16" s="16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>
      <c r="A17" s="237">
        <v>16.0</v>
      </c>
      <c r="B17" s="193" t="s">
        <v>32</v>
      </c>
      <c r="C17" s="238" t="s">
        <v>590</v>
      </c>
      <c r="D17" s="16" t="s">
        <v>495</v>
      </c>
      <c r="E17" s="16" t="s">
        <v>98</v>
      </c>
      <c r="F17" s="249" t="s">
        <v>369</v>
      </c>
      <c r="G17" s="42" t="s">
        <v>591</v>
      </c>
      <c r="H17" s="232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>
      <c r="A18" s="237">
        <v>17.0</v>
      </c>
      <c r="B18" s="193" t="s">
        <v>32</v>
      </c>
      <c r="C18" s="268" t="s">
        <v>592</v>
      </c>
      <c r="D18" s="16" t="s">
        <v>495</v>
      </c>
      <c r="E18" s="16" t="s">
        <v>98</v>
      </c>
      <c r="F18" s="249" t="s">
        <v>369</v>
      </c>
      <c r="G18" s="42" t="s">
        <v>591</v>
      </c>
      <c r="H18" s="232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>
      <c r="A19" s="237">
        <v>18.0</v>
      </c>
      <c r="B19" s="193" t="s">
        <v>32</v>
      </c>
      <c r="C19" s="124" t="s">
        <v>595</v>
      </c>
      <c r="D19" s="16" t="s">
        <v>495</v>
      </c>
      <c r="E19" s="16" t="s">
        <v>98</v>
      </c>
      <c r="F19" s="249" t="s">
        <v>369</v>
      </c>
      <c r="G19" s="42" t="s">
        <v>591</v>
      </c>
      <c r="H19" s="232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>
      <c r="A20" s="237">
        <v>19.0</v>
      </c>
      <c r="B20" s="193" t="s">
        <v>32</v>
      </c>
      <c r="C20" s="271" t="s">
        <v>257</v>
      </c>
      <c r="D20" s="16" t="s">
        <v>495</v>
      </c>
      <c r="E20" s="198" t="s">
        <v>486</v>
      </c>
      <c r="F20" s="20" t="s">
        <v>79</v>
      </c>
      <c r="G20" s="250" t="s">
        <v>598</v>
      </c>
      <c r="H20" s="232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>
      <c r="A21" s="237">
        <v>20.0</v>
      </c>
      <c r="B21" s="193" t="s">
        <v>32</v>
      </c>
      <c r="C21" s="271" t="s">
        <v>260</v>
      </c>
      <c r="D21" s="16" t="s">
        <v>495</v>
      </c>
      <c r="E21" s="198" t="s">
        <v>486</v>
      </c>
      <c r="F21" s="20" t="s">
        <v>79</v>
      </c>
      <c r="G21" s="250" t="s">
        <v>598</v>
      </c>
      <c r="H21" s="232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5.75" customHeight="1">
      <c r="A22" s="237">
        <v>21.0</v>
      </c>
      <c r="B22" s="193" t="s">
        <v>32</v>
      </c>
      <c r="C22" s="274" t="s">
        <v>263</v>
      </c>
      <c r="D22" s="16" t="s">
        <v>495</v>
      </c>
      <c r="E22" s="198" t="s">
        <v>486</v>
      </c>
      <c r="F22" s="20" t="s">
        <v>79</v>
      </c>
      <c r="G22" s="250" t="s">
        <v>598</v>
      </c>
      <c r="H22" s="232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5.75" customHeight="1">
      <c r="A23" s="237">
        <v>22.0</v>
      </c>
      <c r="B23" s="193" t="s">
        <v>32</v>
      </c>
      <c r="C23" s="277" t="s">
        <v>265</v>
      </c>
      <c r="D23" s="16" t="s">
        <v>495</v>
      </c>
      <c r="E23" s="198" t="s">
        <v>486</v>
      </c>
      <c r="F23" s="20" t="s">
        <v>79</v>
      </c>
      <c r="G23" s="250" t="s">
        <v>598</v>
      </c>
      <c r="H23" s="232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</row>
    <row r="24" ht="15.75" customHeight="1">
      <c r="A24" s="237">
        <v>23.0</v>
      </c>
      <c r="B24" s="193" t="s">
        <v>32</v>
      </c>
      <c r="C24" s="277" t="s">
        <v>266</v>
      </c>
      <c r="D24" s="16" t="s">
        <v>495</v>
      </c>
      <c r="E24" s="198" t="s">
        <v>486</v>
      </c>
      <c r="F24" s="20" t="s">
        <v>79</v>
      </c>
      <c r="G24" s="250" t="s">
        <v>598</v>
      </c>
      <c r="H24" s="232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</row>
    <row r="25" ht="15.75" customHeight="1">
      <c r="A25" s="237">
        <v>24.0</v>
      </c>
      <c r="B25" s="193" t="s">
        <v>32</v>
      </c>
      <c r="C25" s="277" t="s">
        <v>270</v>
      </c>
      <c r="D25" s="16" t="s">
        <v>495</v>
      </c>
      <c r="E25" s="198" t="s">
        <v>486</v>
      </c>
      <c r="F25" s="20" t="s">
        <v>79</v>
      </c>
      <c r="G25" s="250" t="s">
        <v>598</v>
      </c>
      <c r="H25" s="232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</row>
    <row r="26" ht="15.75" customHeight="1">
      <c r="A26" s="237">
        <v>25.0</v>
      </c>
      <c r="B26" s="193" t="s">
        <v>32</v>
      </c>
      <c r="C26" s="277" t="s">
        <v>271</v>
      </c>
      <c r="D26" s="16" t="s">
        <v>495</v>
      </c>
      <c r="E26" s="198" t="s">
        <v>486</v>
      </c>
      <c r="F26" s="20" t="s">
        <v>79</v>
      </c>
      <c r="G26" s="250" t="s">
        <v>598</v>
      </c>
      <c r="H26" s="232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</row>
    <row r="27" ht="15.75" customHeight="1">
      <c r="A27" s="281"/>
      <c r="B27" s="228"/>
      <c r="C27" s="228"/>
      <c r="D27" s="108" t="s">
        <v>261</v>
      </c>
      <c r="E27" s="112">
        <f>COUNTIF(F:F,"A*")</f>
        <v>3</v>
      </c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</row>
    <row r="28" ht="15.75" customHeight="1">
      <c r="A28" s="281"/>
      <c r="B28" s="228"/>
      <c r="C28" s="228"/>
      <c r="D28" s="108" t="s">
        <v>269</v>
      </c>
      <c r="E28" s="112">
        <f>COUNTIF(F:F,"B*")</f>
        <v>2</v>
      </c>
      <c r="F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</row>
    <row r="29" ht="15.75" customHeight="1">
      <c r="A29" s="281"/>
      <c r="B29" s="228"/>
      <c r="C29" s="228"/>
      <c r="D29" s="108" t="s">
        <v>274</v>
      </c>
      <c r="E29" s="284">
        <v>4.0</v>
      </c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</row>
    <row r="30" ht="15.75" customHeight="1">
      <c r="A30" s="281"/>
      <c r="B30" s="228"/>
      <c r="C30" s="228"/>
      <c r="D30" s="108" t="s">
        <v>278</v>
      </c>
      <c r="E30" s="112">
        <f>COUNTIF(F:F,"D*")</f>
        <v>0</v>
      </c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</row>
    <row r="31" ht="15.75" customHeight="1">
      <c r="A31" s="281"/>
      <c r="B31" s="228"/>
      <c r="C31" s="228"/>
      <c r="D31" s="287" t="s">
        <v>79</v>
      </c>
      <c r="E31" s="112">
        <f>COUNTIF(F:F,"Random")</f>
        <v>7</v>
      </c>
      <c r="F31" s="28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</row>
    <row r="32" ht="15.75" customHeight="1">
      <c r="A32" s="281"/>
      <c r="B32" s="228"/>
      <c r="C32" s="228"/>
      <c r="D32" s="289" t="s">
        <v>301</v>
      </c>
      <c r="E32" s="112">
        <f>COUNTIF(F:F,"小*")</f>
        <v>8</v>
      </c>
      <c r="F32" s="28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</row>
    <row r="33" ht="15.75" customHeight="1">
      <c r="A33" s="281"/>
      <c r="B33" s="228"/>
      <c r="C33" s="228"/>
      <c r="D33" s="289" t="s">
        <v>285</v>
      </c>
      <c r="E33" s="112">
        <f>COUNTIF(F:F,"嘉*")</f>
        <v>1</v>
      </c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</row>
    <row r="34" ht="15.75" customHeight="1">
      <c r="A34" s="281"/>
      <c r="B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</row>
    <row r="35" ht="15.75" customHeight="1">
      <c r="A35" s="281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</row>
    <row r="36" ht="15.75" customHeight="1">
      <c r="A36" s="281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</row>
    <row r="37" ht="15.75" customHeight="1">
      <c r="A37" s="281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</row>
    <row r="38" ht="15.75" customHeight="1">
      <c r="A38" s="281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</row>
    <row r="39" ht="15.75" customHeight="1">
      <c r="A39" s="281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</row>
    <row r="40" ht="15.75" customHeight="1">
      <c r="A40" s="281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</row>
    <row r="41" ht="15.75" customHeight="1">
      <c r="A41" s="281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</row>
    <row r="42" ht="15.75" customHeight="1">
      <c r="A42" s="281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</row>
    <row r="43" ht="15.75" customHeight="1">
      <c r="A43" s="281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 ht="15.75" customHeight="1">
      <c r="A44" s="281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</row>
    <row r="45" ht="15.75" customHeight="1">
      <c r="A45" s="281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</row>
    <row r="46" ht="15.75" customHeight="1">
      <c r="A46" s="281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</row>
    <row r="47" ht="15.75" customHeight="1">
      <c r="A47" s="281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</row>
    <row r="48" ht="15.75" customHeight="1">
      <c r="A48" s="281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</row>
    <row r="49" ht="15.75" customHeight="1">
      <c r="A49" s="281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</row>
    <row r="50" ht="15.75" customHeight="1">
      <c r="A50" s="281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</row>
    <row r="51" ht="15.75" customHeight="1">
      <c r="A51" s="281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</row>
    <row r="52" ht="15.75" customHeight="1">
      <c r="A52" s="281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</row>
    <row r="53" ht="15.75" customHeight="1">
      <c r="A53" s="281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ht="15.75" customHeight="1">
      <c r="A54" s="281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</row>
    <row r="55" ht="15.75" customHeight="1">
      <c r="A55" s="281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</row>
    <row r="56" ht="15.75" customHeight="1">
      <c r="A56" s="281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</row>
    <row r="57" ht="15.75" customHeight="1">
      <c r="A57" s="281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</row>
    <row r="58" ht="15.75" customHeight="1">
      <c r="A58" s="281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</row>
    <row r="59" ht="15.75" customHeight="1">
      <c r="A59" s="281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</row>
    <row r="60" ht="15.75" customHeight="1">
      <c r="A60" s="281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</row>
    <row r="61" ht="15.75" customHeight="1">
      <c r="A61" s="281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</row>
    <row r="62" ht="15.75" customHeight="1">
      <c r="A62" s="281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</row>
    <row r="63" ht="15.75" customHeight="1">
      <c r="A63" s="281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</row>
    <row r="64" ht="15.75" customHeight="1">
      <c r="A64" s="281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</row>
    <row r="65" ht="15.75" customHeight="1">
      <c r="A65" s="281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</row>
    <row r="66" ht="15.75" customHeight="1">
      <c r="A66" s="281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</row>
    <row r="67" ht="15.75" customHeight="1">
      <c r="A67" s="281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</row>
    <row r="68" ht="15.75" customHeight="1">
      <c r="A68" s="281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</row>
    <row r="69" ht="15.75" customHeight="1">
      <c r="A69" s="281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</row>
    <row r="70" ht="15.75" customHeight="1">
      <c r="A70" s="281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</row>
    <row r="71" ht="15.75" customHeight="1">
      <c r="A71" s="281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</row>
    <row r="72" ht="15.75" customHeight="1">
      <c r="A72" s="281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</row>
    <row r="73" ht="15.75" customHeight="1">
      <c r="A73" s="281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</row>
    <row r="74" ht="15.75" customHeight="1">
      <c r="A74" s="281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</row>
    <row r="75" ht="15.75" customHeight="1">
      <c r="A75" s="281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</row>
    <row r="76" ht="15.75" customHeight="1">
      <c r="A76" s="281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</row>
    <row r="77" ht="15.75" customHeight="1">
      <c r="A77" s="281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</row>
    <row r="78" ht="15.75" customHeight="1">
      <c r="A78" s="281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</row>
    <row r="79" ht="15.75" customHeight="1">
      <c r="A79" s="281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</row>
    <row r="80" ht="15.75" customHeight="1">
      <c r="A80" s="281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</row>
    <row r="81" ht="15.75" customHeight="1">
      <c r="A81" s="281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</row>
    <row r="82" ht="15.75" customHeight="1">
      <c r="A82" s="281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</row>
    <row r="83" ht="15.75" customHeight="1">
      <c r="A83" s="281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</row>
    <row r="84" ht="15.75" customHeight="1">
      <c r="A84" s="281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</row>
    <row r="85" ht="15.75" customHeight="1">
      <c r="A85" s="281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</row>
    <row r="86" ht="15.75" customHeight="1">
      <c r="A86" s="281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</row>
    <row r="87" ht="15.75" customHeight="1">
      <c r="A87" s="281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</row>
    <row r="88" ht="15.75" customHeight="1">
      <c r="A88" s="281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</row>
    <row r="89" ht="15.75" customHeight="1">
      <c r="A89" s="281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</row>
    <row r="90" ht="15.75" customHeight="1">
      <c r="A90" s="281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</row>
    <row r="91" ht="15.75" customHeight="1">
      <c r="A91" s="281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</row>
    <row r="92" ht="15.75" customHeight="1">
      <c r="A92" s="281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</row>
    <row r="93" ht="15.75" customHeight="1">
      <c r="A93" s="281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</row>
    <row r="94" ht="15.75" customHeight="1">
      <c r="A94" s="281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</row>
    <row r="95" ht="15.75" customHeight="1">
      <c r="A95" s="281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</row>
    <row r="96" ht="15.75" customHeight="1">
      <c r="A96" s="281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</row>
    <row r="97" ht="15.75" customHeight="1">
      <c r="A97" s="281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</row>
    <row r="98" ht="15.75" customHeight="1">
      <c r="A98" s="281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</row>
    <row r="99" ht="15.75" customHeight="1">
      <c r="A99" s="281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</row>
    <row r="100" ht="15.75" customHeight="1">
      <c r="A100" s="281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</row>
    <row r="101" ht="15.75" customHeight="1">
      <c r="A101" s="281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</row>
    <row r="102" ht="15.75" customHeight="1">
      <c r="A102" s="281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</row>
    <row r="103" ht="15.75" customHeight="1">
      <c r="A103" s="281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</row>
    <row r="104" ht="15.75" customHeight="1">
      <c r="A104" s="281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</row>
    <row r="105" ht="15.75" customHeight="1">
      <c r="A105" s="281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</row>
    <row r="106" ht="15.75" customHeight="1">
      <c r="A106" s="281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</row>
    <row r="107" ht="15.75" customHeight="1">
      <c r="A107" s="281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</row>
    <row r="108" ht="15.75" customHeight="1">
      <c r="A108" s="281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</row>
    <row r="109" ht="15.75" customHeight="1">
      <c r="A109" s="281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</row>
    <row r="110" ht="15.75" customHeight="1">
      <c r="A110" s="281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</row>
    <row r="111" ht="15.75" customHeight="1">
      <c r="A111" s="281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</row>
    <row r="112" ht="15.75" customHeight="1">
      <c r="A112" s="281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</row>
    <row r="113" ht="15.75" customHeight="1">
      <c r="A113" s="281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</row>
    <row r="114" ht="15.75" customHeight="1">
      <c r="A114" s="281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</row>
    <row r="115" ht="15.75" customHeight="1">
      <c r="A115" s="281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</row>
    <row r="116" ht="15.75" customHeight="1">
      <c r="A116" s="281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</row>
    <row r="117" ht="15.75" customHeight="1">
      <c r="A117" s="281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</row>
    <row r="118" ht="15.75" customHeight="1">
      <c r="A118" s="281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</row>
    <row r="119" ht="15.75" customHeight="1">
      <c r="A119" s="281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</row>
    <row r="120" ht="15.75" customHeight="1">
      <c r="A120" s="281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</row>
    <row r="121" ht="15.75" customHeight="1">
      <c r="A121" s="281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</row>
    <row r="122" ht="15.75" customHeight="1">
      <c r="A122" s="281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</row>
    <row r="123" ht="15.75" customHeight="1">
      <c r="A123" s="281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</row>
    <row r="124" ht="15.75" customHeight="1">
      <c r="A124" s="281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</row>
    <row r="125" ht="15.75" customHeight="1">
      <c r="A125" s="281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</row>
    <row r="126" ht="15.75" customHeight="1">
      <c r="A126" s="281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</row>
    <row r="127" ht="15.75" customHeight="1">
      <c r="A127" s="281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</row>
    <row r="128" ht="15.75" customHeight="1">
      <c r="A128" s="281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</row>
    <row r="129" ht="15.75" customHeight="1">
      <c r="A129" s="281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</row>
    <row r="130" ht="15.75" customHeight="1">
      <c r="A130" s="281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</row>
    <row r="131" ht="15.75" customHeight="1">
      <c r="A131" s="281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</row>
    <row r="132" ht="15.75" customHeight="1">
      <c r="A132" s="281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</row>
    <row r="133" ht="15.75" customHeight="1">
      <c r="A133" s="281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</row>
    <row r="134" ht="15.75" customHeight="1">
      <c r="A134" s="281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</row>
    <row r="135" ht="15.75" customHeight="1">
      <c r="A135" s="281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</row>
    <row r="136" ht="15.75" customHeight="1">
      <c r="A136" s="281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</row>
    <row r="137" ht="15.75" customHeight="1">
      <c r="A137" s="281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</row>
    <row r="138" ht="15.75" customHeight="1">
      <c r="A138" s="281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</row>
    <row r="139" ht="15.75" customHeight="1">
      <c r="A139" s="281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</row>
    <row r="140" ht="15.75" customHeight="1">
      <c r="A140" s="281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</row>
    <row r="141" ht="15.75" customHeight="1">
      <c r="A141" s="281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</row>
    <row r="142" ht="15.75" customHeight="1">
      <c r="A142" s="281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</row>
    <row r="143" ht="15.75" customHeight="1">
      <c r="A143" s="281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</row>
    <row r="144" ht="15.75" customHeight="1">
      <c r="A144" s="281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</row>
    <row r="145" ht="15.75" customHeight="1">
      <c r="A145" s="281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</row>
    <row r="146" ht="15.75" customHeight="1">
      <c r="A146" s="281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</row>
    <row r="147" ht="15.75" customHeight="1">
      <c r="A147" s="281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</row>
    <row r="148" ht="15.75" customHeight="1">
      <c r="A148" s="281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</row>
    <row r="149" ht="15.75" customHeight="1">
      <c r="A149" s="281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</row>
    <row r="150" ht="15.75" customHeight="1">
      <c r="A150" s="281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</row>
    <row r="151" ht="15.75" customHeight="1">
      <c r="A151" s="281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</row>
    <row r="152" ht="15.75" customHeight="1">
      <c r="A152" s="281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</row>
    <row r="153" ht="15.75" customHeight="1">
      <c r="A153" s="281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</row>
    <row r="154" ht="15.75" customHeight="1">
      <c r="A154" s="281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</row>
    <row r="155" ht="15.75" customHeight="1">
      <c r="A155" s="281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</row>
    <row r="156" ht="15.75" customHeight="1">
      <c r="A156" s="281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</row>
    <row r="157" ht="15.75" customHeight="1">
      <c r="A157" s="281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</row>
    <row r="158" ht="15.75" customHeight="1">
      <c r="A158" s="281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</row>
    <row r="159" ht="15.75" customHeight="1">
      <c r="A159" s="281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</row>
    <row r="160" ht="15.75" customHeight="1">
      <c r="A160" s="281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</row>
    <row r="161" ht="15.75" customHeight="1">
      <c r="A161" s="281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</row>
    <row r="162" ht="15.75" customHeight="1">
      <c r="A162" s="281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</row>
    <row r="163" ht="15.75" customHeight="1">
      <c r="A163" s="281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</row>
    <row r="164" ht="15.75" customHeight="1">
      <c r="A164" s="281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</row>
    <row r="165" ht="15.75" customHeight="1">
      <c r="A165" s="281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</row>
    <row r="166" ht="15.75" customHeight="1">
      <c r="A166" s="281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</row>
    <row r="167" ht="15.75" customHeight="1">
      <c r="A167" s="281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</row>
    <row r="168" ht="15.75" customHeight="1">
      <c r="A168" s="281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</row>
    <row r="169" ht="15.75" customHeight="1">
      <c r="A169" s="281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</row>
    <row r="170" ht="15.75" customHeight="1">
      <c r="A170" s="281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</row>
    <row r="171" ht="15.75" customHeight="1">
      <c r="A171" s="281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</row>
    <row r="172" ht="15.75" customHeight="1">
      <c r="A172" s="281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</row>
    <row r="173" ht="15.75" customHeight="1">
      <c r="A173" s="281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</row>
    <row r="174" ht="15.75" customHeight="1">
      <c r="A174" s="281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</row>
    <row r="175" ht="15.75" customHeight="1">
      <c r="A175" s="281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</row>
    <row r="176" ht="15.75" customHeight="1">
      <c r="A176" s="281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</row>
    <row r="177" ht="15.75" customHeight="1">
      <c r="A177" s="281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</row>
    <row r="178" ht="15.75" customHeight="1">
      <c r="A178" s="281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</row>
    <row r="179" ht="15.75" customHeight="1">
      <c r="A179" s="281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</row>
    <row r="180" ht="15.75" customHeight="1">
      <c r="A180" s="281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</row>
    <row r="181" ht="15.75" customHeight="1">
      <c r="A181" s="281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</row>
    <row r="182" ht="15.75" customHeight="1">
      <c r="A182" s="281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</row>
    <row r="183" ht="15.75" customHeight="1">
      <c r="A183" s="281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</row>
    <row r="184" ht="15.75" customHeight="1">
      <c r="A184" s="281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</row>
    <row r="185" ht="15.75" customHeight="1">
      <c r="A185" s="281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</row>
    <row r="186" ht="15.75" customHeight="1">
      <c r="A186" s="281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</row>
    <row r="187" ht="15.75" customHeight="1">
      <c r="A187" s="281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</row>
    <row r="188" ht="15.75" customHeight="1">
      <c r="A188" s="281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</row>
    <row r="189" ht="15.75" customHeight="1">
      <c r="A189" s="281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</row>
    <row r="190" ht="15.75" customHeight="1">
      <c r="A190" s="281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</row>
    <row r="191" ht="15.75" customHeight="1">
      <c r="A191" s="281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</row>
    <row r="192" ht="15.75" customHeight="1">
      <c r="A192" s="281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</row>
    <row r="193" ht="15.75" customHeight="1">
      <c r="A193" s="281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</row>
    <row r="194" ht="15.75" customHeight="1">
      <c r="A194" s="281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</row>
    <row r="195" ht="15.75" customHeight="1">
      <c r="A195" s="281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</row>
    <row r="196" ht="15.75" customHeight="1">
      <c r="A196" s="281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</row>
    <row r="197" ht="15.75" customHeight="1">
      <c r="A197" s="281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</row>
    <row r="198" ht="15.75" customHeight="1">
      <c r="A198" s="281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</row>
    <row r="199" ht="15.75" customHeight="1">
      <c r="A199" s="281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</row>
    <row r="200" ht="15.75" customHeight="1">
      <c r="A200" s="281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</row>
    <row r="201" ht="15.75" customHeight="1">
      <c r="A201" s="281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</row>
    <row r="202" ht="15.75" customHeight="1">
      <c r="A202" s="281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</row>
    <row r="203" ht="15.75" customHeight="1">
      <c r="A203" s="281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</row>
    <row r="204" ht="15.75" customHeight="1">
      <c r="A204" s="281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</row>
    <row r="205" ht="15.75" customHeight="1">
      <c r="A205" s="281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</row>
    <row r="206" ht="15.75" customHeight="1">
      <c r="A206" s="281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</row>
    <row r="207" ht="15.75" customHeight="1">
      <c r="A207" s="281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</row>
    <row r="208" ht="15.75" customHeight="1">
      <c r="A208" s="281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</row>
    <row r="209" ht="15.75" customHeight="1">
      <c r="A209" s="281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</row>
    <row r="210" ht="15.75" customHeight="1">
      <c r="A210" s="281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</row>
    <row r="211" ht="15.75" customHeight="1">
      <c r="A211" s="281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</row>
    <row r="212" ht="15.75" customHeight="1">
      <c r="A212" s="281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</row>
    <row r="213" ht="15.75" customHeight="1">
      <c r="A213" s="281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</row>
    <row r="214" ht="15.75" customHeight="1">
      <c r="A214" s="281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</row>
    <row r="215" ht="15.75" customHeight="1">
      <c r="A215" s="281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</row>
    <row r="216" ht="15.75" customHeight="1">
      <c r="A216" s="281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</row>
    <row r="217" ht="15.75" customHeight="1">
      <c r="A217" s="281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</row>
    <row r="218" ht="15.75" customHeight="1">
      <c r="A218" s="281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</row>
    <row r="219" ht="15.75" customHeight="1">
      <c r="A219" s="281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</row>
    <row r="220" ht="15.75" customHeight="1">
      <c r="A220" s="281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</row>
    <row r="221" ht="15.75" customHeight="1">
      <c r="A221" s="281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</row>
    <row r="222" ht="15.75" customHeight="1">
      <c r="A222" s="281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</row>
    <row r="223" ht="15.75" customHeight="1">
      <c r="A223" s="281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</row>
    <row r="224" ht="15.75" customHeight="1">
      <c r="A224" s="281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</row>
    <row r="225" ht="15.75" customHeight="1">
      <c r="A225" s="281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</row>
    <row r="226" ht="15.75" customHeight="1">
      <c r="A226" s="281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</row>
    <row r="227" ht="15.75" customHeight="1">
      <c r="A227" s="281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</row>
    <row r="228" ht="15.75" customHeight="1">
      <c r="A228" s="281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</row>
    <row r="229" ht="15.75" customHeight="1">
      <c r="A229" s="281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</row>
    <row r="230" ht="15.75" customHeight="1">
      <c r="A230" s="281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</row>
    <row r="231" ht="15.75" customHeight="1">
      <c r="A231" s="281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</row>
    <row r="232" ht="15.75" customHeight="1">
      <c r="A232" s="281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</row>
    <row r="233" ht="15.75" customHeight="1">
      <c r="A233" s="281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</row>
    <row r="234" ht="15.75" customHeight="1">
      <c r="A234" s="281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</row>
    <row r="235" ht="15.75" customHeight="1">
      <c r="A235" s="281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</row>
    <row r="236" ht="15.75" customHeight="1">
      <c r="A236" s="281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</row>
    <row r="237" ht="15.75" customHeight="1">
      <c r="A237" s="281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</row>
    <row r="238" ht="15.75" customHeight="1">
      <c r="A238" s="281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</row>
    <row r="239" ht="15.75" customHeight="1">
      <c r="A239" s="281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</row>
    <row r="240" ht="15.75" customHeight="1">
      <c r="A240" s="281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</row>
    <row r="241" ht="15.75" customHeight="1">
      <c r="A241" s="281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</row>
    <row r="242" ht="15.75" customHeight="1">
      <c r="A242" s="281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</row>
    <row r="243" ht="15.75" customHeight="1">
      <c r="A243" s="281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</row>
    <row r="244" ht="15.75" customHeight="1">
      <c r="A244" s="281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</row>
    <row r="245" ht="15.75" customHeight="1">
      <c r="A245" s="281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</row>
    <row r="246" ht="15.75" customHeight="1">
      <c r="A246" s="281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</row>
    <row r="247" ht="15.75" customHeight="1">
      <c r="A247" s="281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</row>
    <row r="248" ht="15.75" customHeight="1">
      <c r="A248" s="281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</row>
    <row r="249" ht="15.75" customHeight="1">
      <c r="A249" s="281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</row>
    <row r="250" ht="15.75" customHeight="1">
      <c r="A250" s="281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</row>
    <row r="251" ht="15.75" customHeight="1">
      <c r="A251" s="281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</row>
    <row r="252" ht="15.75" customHeight="1">
      <c r="A252" s="281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</row>
    <row r="253" ht="15.75" customHeight="1">
      <c r="A253" s="281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</row>
    <row r="254" ht="15.75" customHeight="1">
      <c r="A254" s="281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</row>
    <row r="255" ht="15.75" customHeight="1">
      <c r="A255" s="281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</row>
    <row r="256" ht="15.75" customHeight="1">
      <c r="A256" s="281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</row>
    <row r="257" ht="15.75" customHeight="1">
      <c r="A257" s="281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</row>
    <row r="258" ht="15.75" customHeight="1">
      <c r="A258" s="281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</row>
    <row r="259" ht="15.75" customHeight="1">
      <c r="A259" s="281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</row>
    <row r="260" ht="15.75" customHeight="1">
      <c r="A260" s="281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</row>
    <row r="261" ht="15.75" customHeight="1">
      <c r="A261" s="281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</row>
    <row r="262" ht="15.75" customHeight="1">
      <c r="A262" s="281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</row>
    <row r="263" ht="15.75" customHeight="1">
      <c r="A263" s="281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</row>
    <row r="264" ht="15.75" customHeight="1">
      <c r="A264" s="281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</row>
    <row r="265" ht="15.75" customHeight="1">
      <c r="A265" s="281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</row>
    <row r="266" ht="15.75" customHeight="1">
      <c r="A266" s="281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</row>
    <row r="267" ht="15.75" customHeight="1">
      <c r="A267" s="281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</row>
    <row r="268" ht="15.75" customHeight="1">
      <c r="A268" s="281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</row>
    <row r="269" ht="15.75" customHeight="1">
      <c r="A269" s="281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</row>
    <row r="270" ht="15.75" customHeight="1">
      <c r="A270" s="281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</row>
    <row r="271" ht="15.75" customHeight="1">
      <c r="A271" s="281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</row>
    <row r="272" ht="15.75" customHeight="1">
      <c r="A272" s="281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</row>
    <row r="273" ht="15.75" customHeight="1">
      <c r="A273" s="281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</row>
    <row r="274" ht="15.75" customHeight="1">
      <c r="A274" s="281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</row>
    <row r="275" ht="15.75" customHeight="1">
      <c r="A275" s="281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</row>
    <row r="276" ht="15.75" customHeight="1">
      <c r="A276" s="281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</row>
    <row r="277" ht="15.75" customHeight="1">
      <c r="A277" s="281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</row>
    <row r="278" ht="15.75" customHeight="1">
      <c r="A278" s="281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</row>
    <row r="279" ht="15.75" customHeight="1">
      <c r="A279" s="281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</row>
    <row r="280" ht="15.75" customHeight="1">
      <c r="A280" s="281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</row>
    <row r="281" ht="15.75" customHeight="1">
      <c r="A281" s="281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</row>
    <row r="282" ht="15.75" customHeight="1">
      <c r="A282" s="281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</row>
    <row r="283" ht="15.75" customHeight="1">
      <c r="A283" s="281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</row>
    <row r="284" ht="15.75" customHeight="1">
      <c r="A284" s="281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</row>
    <row r="285" ht="15.75" customHeight="1">
      <c r="A285" s="281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</row>
    <row r="286" ht="15.75" customHeight="1">
      <c r="A286" s="281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</row>
    <row r="287" ht="15.75" customHeight="1">
      <c r="A287" s="281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</row>
    <row r="288" ht="15.75" customHeight="1">
      <c r="A288" s="281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</row>
    <row r="289" ht="15.75" customHeight="1">
      <c r="A289" s="281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</row>
    <row r="290" ht="15.75" customHeight="1">
      <c r="A290" s="281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</row>
    <row r="291" ht="15.75" customHeight="1">
      <c r="A291" s="281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</row>
    <row r="292" ht="15.75" customHeight="1">
      <c r="A292" s="281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</row>
    <row r="293" ht="15.75" customHeight="1">
      <c r="A293" s="281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</row>
    <row r="294" ht="15.75" customHeight="1">
      <c r="A294" s="281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</row>
    <row r="295" ht="15.75" customHeight="1">
      <c r="A295" s="281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</row>
    <row r="296" ht="15.75" customHeight="1">
      <c r="A296" s="281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</row>
    <row r="297" ht="15.75" customHeight="1">
      <c r="A297" s="281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</row>
    <row r="298" ht="15.75" customHeight="1">
      <c r="A298" s="281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</row>
    <row r="299" ht="15.75" customHeight="1">
      <c r="A299" s="281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</row>
    <row r="300" ht="15.75" customHeight="1">
      <c r="A300" s="281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</row>
    <row r="301" ht="15.75" customHeight="1">
      <c r="A301" s="281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</row>
    <row r="302" ht="15.75" customHeight="1">
      <c r="A302" s="281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</row>
    <row r="303" ht="15.75" customHeight="1">
      <c r="A303" s="281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</row>
    <row r="304" ht="15.75" customHeight="1">
      <c r="A304" s="281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</row>
    <row r="305" ht="15.75" customHeight="1">
      <c r="A305" s="281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</row>
    <row r="306" ht="15.75" customHeight="1">
      <c r="A306" s="281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</row>
    <row r="307" ht="15.75" customHeight="1">
      <c r="A307" s="281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</row>
    <row r="308" ht="15.75" customHeight="1">
      <c r="A308" s="281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</row>
    <row r="309" ht="15.75" customHeight="1">
      <c r="A309" s="281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</row>
    <row r="310" ht="15.75" customHeight="1">
      <c r="A310" s="281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</row>
    <row r="311" ht="15.75" customHeight="1">
      <c r="A311" s="281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</row>
    <row r="312" ht="15.75" customHeight="1">
      <c r="A312" s="281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</row>
    <row r="313" ht="15.75" customHeight="1">
      <c r="A313" s="281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</row>
    <row r="314" ht="15.75" customHeight="1">
      <c r="A314" s="281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</row>
    <row r="315" ht="15.75" customHeight="1">
      <c r="A315" s="281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</row>
    <row r="316" ht="15.75" customHeight="1">
      <c r="A316" s="281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</row>
    <row r="317" ht="15.75" customHeight="1">
      <c r="A317" s="281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</row>
    <row r="318" ht="15.75" customHeight="1">
      <c r="A318" s="281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</row>
    <row r="319" ht="15.75" customHeight="1">
      <c r="A319" s="281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</row>
    <row r="320" ht="15.75" customHeight="1">
      <c r="A320" s="281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</row>
    <row r="321" ht="15.75" customHeight="1">
      <c r="A321" s="281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</row>
    <row r="322" ht="15.75" customHeight="1">
      <c r="A322" s="281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</row>
    <row r="323" ht="15.75" customHeight="1">
      <c r="A323" s="281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</row>
    <row r="324" ht="15.75" customHeight="1">
      <c r="A324" s="281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</row>
    <row r="325" ht="15.75" customHeight="1">
      <c r="A325" s="281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</row>
    <row r="326" ht="15.75" customHeight="1">
      <c r="A326" s="281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</row>
    <row r="327" ht="15.75" customHeight="1">
      <c r="A327" s="281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</row>
    <row r="328" ht="15.75" customHeight="1">
      <c r="A328" s="281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</row>
    <row r="329" ht="15.75" customHeight="1">
      <c r="A329" s="281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</row>
    <row r="330" ht="15.75" customHeight="1">
      <c r="A330" s="281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</row>
    <row r="331" ht="15.75" customHeight="1">
      <c r="A331" s="281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</row>
    <row r="332" ht="15.75" customHeight="1">
      <c r="A332" s="281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</row>
    <row r="333" ht="15.75" customHeight="1">
      <c r="A333" s="281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</row>
    <row r="334" ht="15.75" customHeight="1">
      <c r="A334" s="281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</row>
    <row r="335" ht="15.75" customHeight="1">
      <c r="A335" s="281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</row>
    <row r="336" ht="15.75" customHeight="1">
      <c r="A336" s="281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</row>
    <row r="337" ht="15.75" customHeight="1">
      <c r="A337" s="281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</row>
    <row r="338" ht="15.75" customHeight="1">
      <c r="A338" s="281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</row>
    <row r="339" ht="15.75" customHeight="1">
      <c r="A339" s="281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</row>
    <row r="340" ht="15.75" customHeight="1">
      <c r="A340" s="281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</row>
    <row r="341" ht="15.75" customHeight="1">
      <c r="A341" s="281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</row>
    <row r="342" ht="15.75" customHeight="1">
      <c r="A342" s="281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</row>
    <row r="343" ht="15.75" customHeight="1">
      <c r="A343" s="281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</row>
    <row r="344" ht="15.75" customHeight="1">
      <c r="A344" s="281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</row>
    <row r="345" ht="15.75" customHeight="1">
      <c r="A345" s="281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</row>
    <row r="346" ht="15.75" customHeight="1">
      <c r="A346" s="281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</row>
    <row r="347" ht="15.75" customHeight="1">
      <c r="A347" s="281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</row>
    <row r="348" ht="15.75" customHeight="1">
      <c r="A348" s="281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</row>
    <row r="349" ht="15.75" customHeight="1">
      <c r="A349" s="281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</row>
    <row r="350" ht="15.75" customHeight="1">
      <c r="A350" s="281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</row>
    <row r="351" ht="15.75" customHeight="1">
      <c r="A351" s="281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</row>
    <row r="352" ht="15.75" customHeight="1">
      <c r="A352" s="281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</row>
    <row r="353" ht="15.75" customHeight="1">
      <c r="A353" s="281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</row>
    <row r="354" ht="15.75" customHeight="1">
      <c r="A354" s="281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</row>
    <row r="355" ht="15.75" customHeight="1">
      <c r="A355" s="281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</row>
    <row r="356" ht="15.75" customHeight="1">
      <c r="A356" s="281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</row>
    <row r="357" ht="15.75" customHeight="1">
      <c r="A357" s="281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</row>
    <row r="358" ht="15.75" customHeight="1">
      <c r="A358" s="281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</row>
    <row r="359" ht="15.75" customHeight="1">
      <c r="A359" s="281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</row>
    <row r="360" ht="15.75" customHeight="1">
      <c r="A360" s="281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</row>
    <row r="361" ht="15.75" customHeight="1">
      <c r="A361" s="281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</row>
    <row r="362" ht="15.75" customHeight="1">
      <c r="A362" s="281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</row>
    <row r="363" ht="15.75" customHeight="1">
      <c r="A363" s="281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</row>
    <row r="364" ht="15.75" customHeight="1">
      <c r="A364" s="281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</row>
    <row r="365" ht="15.75" customHeight="1">
      <c r="A365" s="281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</row>
    <row r="366" ht="15.75" customHeight="1">
      <c r="A366" s="281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</row>
    <row r="367" ht="15.75" customHeight="1">
      <c r="A367" s="281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</row>
    <row r="368" ht="15.75" customHeight="1">
      <c r="A368" s="281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</row>
    <row r="369" ht="15.75" customHeight="1">
      <c r="A369" s="281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</row>
    <row r="370" ht="15.75" customHeight="1">
      <c r="A370" s="281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</row>
    <row r="371" ht="15.75" customHeight="1">
      <c r="A371" s="281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</row>
    <row r="372" ht="15.75" customHeight="1">
      <c r="A372" s="281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</row>
    <row r="373" ht="15.75" customHeight="1">
      <c r="A373" s="281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</row>
    <row r="374" ht="15.75" customHeight="1">
      <c r="A374" s="281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</row>
    <row r="375" ht="15.75" customHeight="1">
      <c r="A375" s="281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</row>
    <row r="376" ht="15.75" customHeight="1">
      <c r="A376" s="281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</row>
    <row r="377" ht="15.75" customHeight="1">
      <c r="A377" s="281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</row>
    <row r="378" ht="15.75" customHeight="1">
      <c r="A378" s="281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</row>
    <row r="379" ht="15.75" customHeight="1">
      <c r="A379" s="281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</row>
    <row r="380" ht="15.75" customHeight="1">
      <c r="A380" s="281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</row>
    <row r="381" ht="15.75" customHeight="1">
      <c r="A381" s="281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</row>
    <row r="382" ht="15.75" customHeight="1">
      <c r="A382" s="281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</row>
    <row r="383" ht="15.75" customHeight="1">
      <c r="A383" s="281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</row>
    <row r="384" ht="15.75" customHeight="1">
      <c r="A384" s="281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</row>
    <row r="385" ht="15.75" customHeight="1">
      <c r="A385" s="281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</row>
    <row r="386" ht="15.75" customHeight="1">
      <c r="A386" s="281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</row>
    <row r="387" ht="15.75" customHeight="1">
      <c r="A387" s="281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</row>
    <row r="388" ht="15.75" customHeight="1">
      <c r="A388" s="281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</row>
    <row r="389" ht="15.75" customHeight="1">
      <c r="A389" s="281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</row>
    <row r="390" ht="15.75" customHeight="1">
      <c r="A390" s="281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</row>
    <row r="391" ht="15.75" customHeight="1">
      <c r="A391" s="281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</row>
    <row r="392" ht="15.75" customHeight="1">
      <c r="A392" s="281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</row>
    <row r="393" ht="15.75" customHeight="1">
      <c r="A393" s="281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</row>
    <row r="394" ht="15.75" customHeight="1">
      <c r="A394" s="281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</row>
    <row r="395" ht="15.75" customHeight="1">
      <c r="A395" s="281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</row>
    <row r="396" ht="15.75" customHeight="1">
      <c r="A396" s="281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</row>
    <row r="397" ht="15.75" customHeight="1">
      <c r="A397" s="281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</row>
    <row r="398" ht="15.75" customHeight="1">
      <c r="A398" s="281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</row>
    <row r="399" ht="15.75" customHeight="1">
      <c r="A399" s="281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</row>
    <row r="400" ht="15.75" customHeight="1">
      <c r="A400" s="281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</row>
    <row r="401" ht="15.75" customHeight="1">
      <c r="A401" s="281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</row>
    <row r="402" ht="15.75" customHeight="1">
      <c r="A402" s="281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</row>
    <row r="403" ht="15.75" customHeight="1">
      <c r="A403" s="281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</row>
    <row r="404" ht="15.75" customHeight="1">
      <c r="A404" s="281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</row>
    <row r="405" ht="15.75" customHeight="1">
      <c r="A405" s="281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</row>
    <row r="406" ht="15.75" customHeight="1">
      <c r="A406" s="281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</row>
    <row r="407" ht="15.75" customHeight="1">
      <c r="A407" s="281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</row>
    <row r="408" ht="15.75" customHeight="1">
      <c r="A408" s="281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</row>
    <row r="409" ht="15.75" customHeight="1">
      <c r="A409" s="281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</row>
    <row r="410" ht="15.75" customHeight="1">
      <c r="A410" s="281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</row>
    <row r="411" ht="15.75" customHeight="1">
      <c r="A411" s="281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</row>
    <row r="412" ht="15.75" customHeight="1">
      <c r="A412" s="281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</row>
    <row r="413" ht="15.75" customHeight="1">
      <c r="A413" s="281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</row>
    <row r="414" ht="15.75" customHeight="1">
      <c r="A414" s="281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</row>
    <row r="415" ht="15.75" customHeight="1">
      <c r="A415" s="281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</row>
    <row r="416" ht="15.75" customHeight="1">
      <c r="A416" s="281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</row>
    <row r="417" ht="15.75" customHeight="1">
      <c r="A417" s="281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</row>
    <row r="418" ht="15.75" customHeight="1">
      <c r="A418" s="281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</row>
    <row r="419" ht="15.75" customHeight="1">
      <c r="A419" s="281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</row>
    <row r="420" ht="15.75" customHeight="1">
      <c r="A420" s="281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</row>
    <row r="421" ht="15.75" customHeight="1">
      <c r="A421" s="281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</row>
    <row r="422" ht="15.75" customHeight="1">
      <c r="A422" s="281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</row>
    <row r="423" ht="15.75" customHeight="1">
      <c r="A423" s="281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</row>
    <row r="424" ht="15.75" customHeight="1">
      <c r="A424" s="281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</row>
    <row r="425" ht="15.75" customHeight="1">
      <c r="A425" s="281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</row>
    <row r="426" ht="15.75" customHeight="1">
      <c r="A426" s="281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</row>
    <row r="427" ht="15.75" customHeight="1">
      <c r="A427" s="281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</row>
    <row r="428" ht="15.75" customHeight="1">
      <c r="A428" s="281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</row>
    <row r="429" ht="15.75" customHeight="1">
      <c r="A429" s="281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</row>
    <row r="430" ht="15.75" customHeight="1">
      <c r="A430" s="281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</row>
    <row r="431" ht="15.75" customHeight="1">
      <c r="A431" s="281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</row>
    <row r="432" ht="15.75" customHeight="1">
      <c r="A432" s="281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</row>
    <row r="433" ht="15.75" customHeight="1">
      <c r="A433" s="281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</row>
    <row r="434" ht="15.75" customHeight="1">
      <c r="A434" s="281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</row>
    <row r="435" ht="15.75" customHeight="1">
      <c r="A435" s="281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</row>
    <row r="436" ht="15.75" customHeight="1">
      <c r="A436" s="281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</row>
    <row r="437" ht="15.75" customHeight="1">
      <c r="A437" s="281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</row>
    <row r="438" ht="15.75" customHeight="1">
      <c r="A438" s="281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</row>
    <row r="439" ht="15.75" customHeight="1">
      <c r="A439" s="281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</row>
    <row r="440" ht="15.75" customHeight="1">
      <c r="A440" s="281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</row>
    <row r="441" ht="15.75" customHeight="1">
      <c r="A441" s="281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</row>
    <row r="442" ht="15.75" customHeight="1">
      <c r="A442" s="281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</row>
    <row r="443" ht="15.75" customHeight="1">
      <c r="A443" s="281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</row>
    <row r="444" ht="15.75" customHeight="1">
      <c r="A444" s="281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</row>
    <row r="445" ht="15.75" customHeight="1">
      <c r="A445" s="281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</row>
    <row r="446" ht="15.75" customHeight="1">
      <c r="A446" s="281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</row>
    <row r="447" ht="15.75" customHeight="1">
      <c r="A447" s="281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</row>
    <row r="448" ht="15.75" customHeight="1">
      <c r="A448" s="281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</row>
    <row r="449" ht="15.75" customHeight="1">
      <c r="A449" s="281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</row>
    <row r="450" ht="15.75" customHeight="1">
      <c r="A450" s="281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</row>
    <row r="451" ht="15.75" customHeight="1">
      <c r="A451" s="281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</row>
    <row r="452" ht="15.75" customHeight="1">
      <c r="A452" s="281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</row>
    <row r="453" ht="15.75" customHeight="1">
      <c r="A453" s="281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</row>
    <row r="454" ht="15.75" customHeight="1">
      <c r="A454" s="281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</row>
    <row r="455" ht="15.75" customHeight="1">
      <c r="A455" s="281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</row>
    <row r="456" ht="15.75" customHeight="1">
      <c r="A456" s="281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</row>
    <row r="457" ht="15.75" customHeight="1">
      <c r="A457" s="281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</row>
    <row r="458" ht="15.75" customHeight="1">
      <c r="A458" s="281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</row>
    <row r="459" ht="15.75" customHeight="1">
      <c r="A459" s="281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</row>
    <row r="460" ht="15.75" customHeight="1">
      <c r="A460" s="281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</row>
    <row r="461" ht="15.75" customHeight="1">
      <c r="A461" s="281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</row>
    <row r="462" ht="15.75" customHeight="1">
      <c r="A462" s="281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</row>
    <row r="463" ht="15.75" customHeight="1">
      <c r="A463" s="281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</row>
    <row r="464" ht="15.75" customHeight="1">
      <c r="A464" s="281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</row>
    <row r="465" ht="15.75" customHeight="1">
      <c r="A465" s="281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</row>
    <row r="466" ht="15.75" customHeight="1">
      <c r="A466" s="281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</row>
    <row r="467" ht="15.75" customHeight="1">
      <c r="A467" s="281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</row>
    <row r="468" ht="15.75" customHeight="1">
      <c r="A468" s="281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</row>
    <row r="469" ht="15.75" customHeight="1">
      <c r="A469" s="281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</row>
    <row r="470" ht="15.75" customHeight="1">
      <c r="A470" s="281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</row>
    <row r="471" ht="15.75" customHeight="1">
      <c r="A471" s="281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</row>
    <row r="472" ht="15.75" customHeight="1">
      <c r="A472" s="281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</row>
    <row r="473" ht="15.75" customHeight="1">
      <c r="A473" s="281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</row>
    <row r="474" ht="15.75" customHeight="1">
      <c r="A474" s="281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</row>
    <row r="475" ht="15.75" customHeight="1">
      <c r="A475" s="281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</row>
    <row r="476" ht="15.75" customHeight="1">
      <c r="A476" s="281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</row>
    <row r="477" ht="15.75" customHeight="1">
      <c r="A477" s="281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</row>
    <row r="478" ht="15.75" customHeight="1">
      <c r="A478" s="281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</row>
    <row r="479" ht="15.75" customHeight="1">
      <c r="A479" s="281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</row>
    <row r="480" ht="15.75" customHeight="1">
      <c r="A480" s="281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</row>
    <row r="481" ht="15.75" customHeight="1">
      <c r="A481" s="281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</row>
    <row r="482" ht="15.75" customHeight="1">
      <c r="A482" s="281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</row>
    <row r="483" ht="15.75" customHeight="1">
      <c r="A483" s="281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</row>
    <row r="484" ht="15.75" customHeight="1">
      <c r="A484" s="281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</row>
    <row r="485" ht="15.75" customHeight="1">
      <c r="A485" s="281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</row>
    <row r="486" ht="15.75" customHeight="1">
      <c r="A486" s="281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</row>
    <row r="487" ht="15.75" customHeight="1">
      <c r="A487" s="281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</row>
    <row r="488" ht="15.75" customHeight="1">
      <c r="A488" s="281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</row>
    <row r="489" ht="15.75" customHeight="1">
      <c r="A489" s="281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</row>
    <row r="490" ht="15.75" customHeight="1">
      <c r="A490" s="281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</row>
    <row r="491" ht="15.75" customHeight="1">
      <c r="A491" s="281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</row>
    <row r="492" ht="15.75" customHeight="1">
      <c r="A492" s="281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</row>
    <row r="493" ht="15.75" customHeight="1">
      <c r="A493" s="281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</row>
    <row r="494" ht="15.75" customHeight="1">
      <c r="A494" s="281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</row>
    <row r="495" ht="15.75" customHeight="1">
      <c r="A495" s="281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</row>
    <row r="496" ht="15.75" customHeight="1">
      <c r="A496" s="281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</row>
    <row r="497" ht="15.75" customHeight="1">
      <c r="A497" s="281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</row>
    <row r="498" ht="15.75" customHeight="1">
      <c r="A498" s="281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</row>
    <row r="499" ht="15.75" customHeight="1">
      <c r="A499" s="281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</row>
    <row r="500" ht="15.75" customHeight="1">
      <c r="A500" s="281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</row>
    <row r="501" ht="15.75" customHeight="1">
      <c r="A501" s="281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</row>
    <row r="502" ht="15.75" customHeight="1">
      <c r="A502" s="281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</row>
    <row r="503" ht="15.75" customHeight="1">
      <c r="A503" s="281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</row>
    <row r="504" ht="15.75" customHeight="1">
      <c r="A504" s="281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</row>
    <row r="505" ht="15.75" customHeight="1">
      <c r="A505" s="281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</row>
    <row r="506" ht="15.75" customHeight="1">
      <c r="A506" s="281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</row>
    <row r="507" ht="15.75" customHeight="1">
      <c r="A507" s="281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</row>
    <row r="508" ht="15.75" customHeight="1">
      <c r="A508" s="281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</row>
    <row r="509" ht="15.75" customHeight="1">
      <c r="A509" s="281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</row>
    <row r="510" ht="15.75" customHeight="1">
      <c r="A510" s="281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</row>
    <row r="511" ht="15.75" customHeight="1">
      <c r="A511" s="281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</row>
    <row r="512" ht="15.75" customHeight="1">
      <c r="A512" s="281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</row>
    <row r="513" ht="15.75" customHeight="1">
      <c r="A513" s="281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</row>
    <row r="514" ht="15.75" customHeight="1">
      <c r="A514" s="281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</row>
    <row r="515" ht="15.75" customHeight="1">
      <c r="A515" s="281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</row>
    <row r="516" ht="15.75" customHeight="1">
      <c r="A516" s="281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</row>
    <row r="517" ht="15.75" customHeight="1">
      <c r="A517" s="281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</row>
    <row r="518" ht="15.75" customHeight="1">
      <c r="A518" s="281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</row>
    <row r="519" ht="15.75" customHeight="1">
      <c r="A519" s="281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</row>
    <row r="520" ht="15.75" customHeight="1">
      <c r="A520" s="281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</row>
    <row r="521" ht="15.75" customHeight="1">
      <c r="A521" s="281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</row>
    <row r="522" ht="15.75" customHeight="1">
      <c r="A522" s="281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</row>
    <row r="523" ht="15.75" customHeight="1">
      <c r="A523" s="281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</row>
    <row r="524" ht="15.75" customHeight="1">
      <c r="A524" s="281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</row>
    <row r="525" ht="15.75" customHeight="1">
      <c r="A525" s="281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</row>
    <row r="526" ht="15.75" customHeight="1">
      <c r="A526" s="281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</row>
    <row r="527" ht="15.75" customHeight="1">
      <c r="A527" s="281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</row>
    <row r="528" ht="15.75" customHeight="1">
      <c r="A528" s="281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</row>
    <row r="529" ht="15.75" customHeight="1">
      <c r="A529" s="281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</row>
    <row r="530" ht="15.75" customHeight="1">
      <c r="A530" s="281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</row>
    <row r="531" ht="15.75" customHeight="1">
      <c r="A531" s="281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</row>
    <row r="532" ht="15.75" customHeight="1">
      <c r="A532" s="281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</row>
    <row r="533" ht="15.75" customHeight="1">
      <c r="A533" s="281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</row>
    <row r="534" ht="15.75" customHeight="1">
      <c r="A534" s="281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</row>
    <row r="535" ht="15.75" customHeight="1">
      <c r="A535" s="281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</row>
    <row r="536" ht="15.75" customHeight="1">
      <c r="A536" s="281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</row>
    <row r="537" ht="15.75" customHeight="1">
      <c r="A537" s="281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</row>
    <row r="538" ht="15.75" customHeight="1">
      <c r="A538" s="281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</row>
    <row r="539" ht="15.75" customHeight="1">
      <c r="A539" s="281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</row>
    <row r="540" ht="15.75" customHeight="1">
      <c r="A540" s="281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</row>
    <row r="541" ht="15.75" customHeight="1">
      <c r="A541" s="281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</row>
    <row r="542" ht="15.75" customHeight="1">
      <c r="A542" s="281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</row>
    <row r="543" ht="15.75" customHeight="1">
      <c r="A543" s="281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</row>
    <row r="544" ht="15.75" customHeight="1">
      <c r="A544" s="281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</row>
    <row r="545" ht="15.75" customHeight="1">
      <c r="A545" s="281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</row>
    <row r="546" ht="15.75" customHeight="1">
      <c r="A546" s="281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</row>
    <row r="547" ht="15.75" customHeight="1">
      <c r="A547" s="281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</row>
    <row r="548" ht="15.75" customHeight="1">
      <c r="A548" s="281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</row>
    <row r="549" ht="15.75" customHeight="1">
      <c r="A549" s="281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</row>
    <row r="550" ht="15.75" customHeight="1">
      <c r="A550" s="281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</row>
    <row r="551" ht="15.75" customHeight="1">
      <c r="A551" s="281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</row>
    <row r="552" ht="15.75" customHeight="1">
      <c r="A552" s="281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</row>
    <row r="553" ht="15.75" customHeight="1">
      <c r="A553" s="281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</row>
    <row r="554" ht="15.75" customHeight="1">
      <c r="A554" s="281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</row>
    <row r="555" ht="15.75" customHeight="1">
      <c r="A555" s="281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</row>
    <row r="556" ht="15.75" customHeight="1">
      <c r="A556" s="281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</row>
    <row r="557" ht="15.75" customHeight="1">
      <c r="A557" s="281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</row>
    <row r="558" ht="15.75" customHeight="1">
      <c r="A558" s="281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</row>
    <row r="559" ht="15.75" customHeight="1">
      <c r="A559" s="281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</row>
    <row r="560" ht="15.75" customHeight="1">
      <c r="A560" s="281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</row>
    <row r="561" ht="15.75" customHeight="1">
      <c r="A561" s="281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</row>
    <row r="562" ht="15.75" customHeight="1">
      <c r="A562" s="281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</row>
    <row r="563" ht="15.75" customHeight="1">
      <c r="A563" s="281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</row>
    <row r="564" ht="15.75" customHeight="1">
      <c r="A564" s="281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</row>
    <row r="565" ht="15.75" customHeight="1">
      <c r="A565" s="281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</row>
    <row r="566" ht="15.75" customHeight="1">
      <c r="A566" s="281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</row>
    <row r="567" ht="15.75" customHeight="1">
      <c r="A567" s="281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</row>
    <row r="568" ht="15.75" customHeight="1">
      <c r="A568" s="281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</row>
    <row r="569" ht="15.75" customHeight="1">
      <c r="A569" s="281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</row>
    <row r="570" ht="15.75" customHeight="1">
      <c r="A570" s="281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</row>
    <row r="571" ht="15.75" customHeight="1">
      <c r="A571" s="281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</row>
    <row r="572" ht="15.75" customHeight="1">
      <c r="A572" s="281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</row>
    <row r="573" ht="15.75" customHeight="1">
      <c r="A573" s="281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</row>
    <row r="574" ht="15.75" customHeight="1">
      <c r="A574" s="281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</row>
    <row r="575" ht="15.75" customHeight="1">
      <c r="A575" s="281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</row>
    <row r="576" ht="15.75" customHeight="1">
      <c r="A576" s="281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</row>
    <row r="577" ht="15.75" customHeight="1">
      <c r="A577" s="281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</row>
    <row r="578" ht="15.75" customHeight="1">
      <c r="A578" s="281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</row>
    <row r="579" ht="15.75" customHeight="1">
      <c r="A579" s="281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</row>
    <row r="580" ht="15.75" customHeight="1">
      <c r="A580" s="281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</row>
    <row r="581" ht="15.75" customHeight="1">
      <c r="A581" s="281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</row>
    <row r="582" ht="15.75" customHeight="1">
      <c r="A582" s="281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</row>
    <row r="583" ht="15.75" customHeight="1">
      <c r="A583" s="281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</row>
    <row r="584" ht="15.75" customHeight="1">
      <c r="A584" s="281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</row>
    <row r="585" ht="15.75" customHeight="1">
      <c r="A585" s="281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</row>
    <row r="586" ht="15.75" customHeight="1">
      <c r="A586" s="281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</row>
    <row r="587" ht="15.75" customHeight="1">
      <c r="A587" s="281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</row>
    <row r="588" ht="15.75" customHeight="1">
      <c r="A588" s="281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</row>
    <row r="589" ht="15.75" customHeight="1">
      <c r="A589" s="281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</row>
    <row r="590" ht="15.75" customHeight="1">
      <c r="A590" s="281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</row>
    <row r="591" ht="15.75" customHeight="1">
      <c r="A591" s="281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</row>
    <row r="592" ht="15.75" customHeight="1">
      <c r="A592" s="281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</row>
    <row r="593" ht="15.75" customHeight="1">
      <c r="A593" s="281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</row>
    <row r="594" ht="15.75" customHeight="1">
      <c r="A594" s="281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</row>
    <row r="595" ht="15.75" customHeight="1">
      <c r="A595" s="281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</row>
    <row r="596" ht="15.75" customHeight="1">
      <c r="A596" s="281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</row>
    <row r="597" ht="15.75" customHeight="1">
      <c r="A597" s="281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</row>
    <row r="598" ht="15.75" customHeight="1">
      <c r="A598" s="281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</row>
    <row r="599" ht="15.75" customHeight="1">
      <c r="A599" s="281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</row>
    <row r="600" ht="15.75" customHeight="1">
      <c r="A600" s="281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</row>
    <row r="601" ht="15.75" customHeight="1">
      <c r="A601" s="281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</row>
    <row r="602" ht="15.75" customHeight="1">
      <c r="A602" s="281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</row>
    <row r="603" ht="15.75" customHeight="1">
      <c r="A603" s="281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</row>
    <row r="604" ht="15.75" customHeight="1">
      <c r="A604" s="281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</row>
    <row r="605" ht="15.75" customHeight="1">
      <c r="A605" s="281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</row>
    <row r="606" ht="15.75" customHeight="1">
      <c r="A606" s="281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</row>
    <row r="607" ht="15.75" customHeight="1">
      <c r="A607" s="281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</row>
    <row r="608" ht="15.75" customHeight="1">
      <c r="A608" s="281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</row>
    <row r="609" ht="15.75" customHeight="1">
      <c r="A609" s="281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</row>
    <row r="610" ht="15.75" customHeight="1">
      <c r="A610" s="281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</row>
    <row r="611" ht="15.75" customHeight="1">
      <c r="A611" s="281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</row>
    <row r="612" ht="15.75" customHeight="1">
      <c r="A612" s="281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</row>
    <row r="613" ht="15.75" customHeight="1">
      <c r="A613" s="281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</row>
    <row r="614" ht="15.75" customHeight="1">
      <c r="A614" s="281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</row>
    <row r="615" ht="15.75" customHeight="1">
      <c r="A615" s="281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</row>
    <row r="616" ht="15.75" customHeight="1">
      <c r="A616" s="281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</row>
    <row r="617" ht="15.75" customHeight="1">
      <c r="A617" s="281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</row>
    <row r="618" ht="15.75" customHeight="1">
      <c r="A618" s="281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</row>
    <row r="619" ht="15.75" customHeight="1">
      <c r="A619" s="281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</row>
    <row r="620" ht="15.75" customHeight="1">
      <c r="A620" s="281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</row>
    <row r="621" ht="15.75" customHeight="1">
      <c r="A621" s="281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</row>
    <row r="622" ht="15.75" customHeight="1">
      <c r="A622" s="281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</row>
    <row r="623" ht="15.75" customHeight="1">
      <c r="A623" s="281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</row>
    <row r="624" ht="15.75" customHeight="1">
      <c r="A624" s="281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</row>
    <row r="625" ht="15.75" customHeight="1">
      <c r="A625" s="281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</row>
    <row r="626" ht="15.75" customHeight="1">
      <c r="A626" s="281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</row>
    <row r="627" ht="15.75" customHeight="1">
      <c r="A627" s="281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</row>
    <row r="628" ht="15.75" customHeight="1">
      <c r="A628" s="281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</row>
    <row r="629" ht="15.75" customHeight="1">
      <c r="A629" s="281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</row>
    <row r="630" ht="15.75" customHeight="1">
      <c r="A630" s="281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</row>
    <row r="631" ht="15.75" customHeight="1">
      <c r="A631" s="281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</row>
    <row r="632" ht="15.75" customHeight="1">
      <c r="A632" s="281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</row>
    <row r="633" ht="15.75" customHeight="1">
      <c r="A633" s="281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</row>
    <row r="634" ht="15.75" customHeight="1">
      <c r="A634" s="281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</row>
    <row r="635" ht="15.75" customHeight="1">
      <c r="A635" s="281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</row>
    <row r="636" ht="15.75" customHeight="1">
      <c r="A636" s="281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</row>
    <row r="637" ht="15.75" customHeight="1">
      <c r="A637" s="281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</row>
    <row r="638" ht="15.75" customHeight="1">
      <c r="A638" s="281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</row>
    <row r="639" ht="15.75" customHeight="1">
      <c r="A639" s="281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</row>
    <row r="640" ht="15.75" customHeight="1">
      <c r="A640" s="281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</row>
    <row r="641" ht="15.75" customHeight="1">
      <c r="A641" s="281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</row>
    <row r="642" ht="15.75" customHeight="1">
      <c r="A642" s="281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</row>
    <row r="643" ht="15.75" customHeight="1">
      <c r="A643" s="281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</row>
    <row r="644" ht="15.75" customHeight="1">
      <c r="A644" s="281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</row>
    <row r="645" ht="15.75" customHeight="1">
      <c r="A645" s="281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</row>
    <row r="646" ht="15.75" customHeight="1">
      <c r="A646" s="281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</row>
    <row r="647" ht="15.75" customHeight="1">
      <c r="A647" s="281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</row>
    <row r="648" ht="15.75" customHeight="1">
      <c r="A648" s="281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</row>
    <row r="649" ht="15.75" customHeight="1">
      <c r="A649" s="281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</row>
    <row r="650" ht="15.75" customHeight="1">
      <c r="A650" s="281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</row>
    <row r="651" ht="15.75" customHeight="1">
      <c r="A651" s="281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</row>
    <row r="652" ht="15.75" customHeight="1">
      <c r="A652" s="281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</row>
    <row r="653" ht="15.75" customHeight="1">
      <c r="A653" s="281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</row>
    <row r="654" ht="15.75" customHeight="1">
      <c r="A654" s="281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</row>
    <row r="655" ht="15.75" customHeight="1">
      <c r="A655" s="281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</row>
    <row r="656" ht="15.75" customHeight="1">
      <c r="A656" s="281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</row>
    <row r="657" ht="15.75" customHeight="1">
      <c r="A657" s="281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</row>
    <row r="658" ht="15.75" customHeight="1">
      <c r="A658" s="281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</row>
    <row r="659" ht="15.75" customHeight="1">
      <c r="A659" s="281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</row>
    <row r="660" ht="15.75" customHeight="1">
      <c r="A660" s="281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</row>
    <row r="661" ht="15.75" customHeight="1">
      <c r="A661" s="281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</row>
    <row r="662" ht="15.75" customHeight="1">
      <c r="A662" s="281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</row>
    <row r="663" ht="15.75" customHeight="1">
      <c r="A663" s="281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</row>
    <row r="664" ht="15.75" customHeight="1">
      <c r="A664" s="281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</row>
    <row r="665" ht="15.75" customHeight="1">
      <c r="A665" s="281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</row>
    <row r="666" ht="15.75" customHeight="1">
      <c r="A666" s="281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</row>
    <row r="667" ht="15.75" customHeight="1">
      <c r="A667" s="281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</row>
    <row r="668" ht="15.75" customHeight="1">
      <c r="A668" s="281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</row>
    <row r="669" ht="15.75" customHeight="1">
      <c r="A669" s="281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</row>
    <row r="670" ht="15.75" customHeight="1">
      <c r="A670" s="281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</row>
    <row r="671" ht="15.75" customHeight="1">
      <c r="A671" s="281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</row>
    <row r="672" ht="15.75" customHeight="1">
      <c r="A672" s="281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</row>
    <row r="673" ht="15.75" customHeight="1">
      <c r="A673" s="281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</row>
    <row r="674" ht="15.75" customHeight="1">
      <c r="A674" s="281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</row>
    <row r="675" ht="15.75" customHeight="1">
      <c r="A675" s="281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</row>
    <row r="676" ht="15.75" customHeight="1">
      <c r="A676" s="281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</row>
    <row r="677" ht="15.75" customHeight="1">
      <c r="A677" s="281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</row>
    <row r="678" ht="15.75" customHeight="1">
      <c r="A678" s="281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</row>
    <row r="679" ht="15.75" customHeight="1">
      <c r="A679" s="281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</row>
    <row r="680" ht="15.75" customHeight="1">
      <c r="A680" s="281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</row>
    <row r="681" ht="15.75" customHeight="1">
      <c r="A681" s="281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</row>
    <row r="682" ht="15.75" customHeight="1">
      <c r="A682" s="281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</row>
    <row r="683" ht="15.75" customHeight="1">
      <c r="A683" s="281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</row>
    <row r="684" ht="15.75" customHeight="1">
      <c r="A684" s="281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</row>
    <row r="685" ht="15.75" customHeight="1">
      <c r="A685" s="281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</row>
    <row r="686" ht="15.75" customHeight="1">
      <c r="A686" s="281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</row>
    <row r="687" ht="15.75" customHeight="1">
      <c r="A687" s="281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</row>
    <row r="688" ht="15.75" customHeight="1">
      <c r="A688" s="281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</row>
    <row r="689" ht="15.75" customHeight="1">
      <c r="A689" s="281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</row>
    <row r="690" ht="15.75" customHeight="1">
      <c r="A690" s="281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</row>
    <row r="691" ht="15.75" customHeight="1">
      <c r="A691" s="281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</row>
    <row r="692" ht="15.75" customHeight="1">
      <c r="A692" s="281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</row>
    <row r="693" ht="15.75" customHeight="1">
      <c r="A693" s="281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</row>
    <row r="694" ht="15.75" customHeight="1">
      <c r="A694" s="281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</row>
    <row r="695" ht="15.75" customHeight="1">
      <c r="A695" s="281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</row>
    <row r="696" ht="15.75" customHeight="1">
      <c r="A696" s="281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</row>
    <row r="697" ht="15.75" customHeight="1">
      <c r="A697" s="281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</row>
    <row r="698" ht="15.75" customHeight="1">
      <c r="A698" s="281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</row>
    <row r="699" ht="15.75" customHeight="1">
      <c r="A699" s="281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</row>
    <row r="700" ht="15.75" customHeight="1">
      <c r="A700" s="281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</row>
    <row r="701" ht="15.75" customHeight="1">
      <c r="A701" s="281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</row>
    <row r="702" ht="15.75" customHeight="1">
      <c r="A702" s="281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</row>
    <row r="703" ht="15.75" customHeight="1">
      <c r="A703" s="281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</row>
    <row r="704" ht="15.75" customHeight="1">
      <c r="A704" s="281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</row>
    <row r="705" ht="15.75" customHeight="1">
      <c r="A705" s="281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</row>
    <row r="706" ht="15.75" customHeight="1">
      <c r="A706" s="281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</row>
    <row r="707" ht="15.75" customHeight="1">
      <c r="A707" s="281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</row>
    <row r="708" ht="15.75" customHeight="1">
      <c r="A708" s="281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</row>
    <row r="709" ht="15.75" customHeight="1">
      <c r="A709" s="281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</row>
    <row r="710" ht="15.75" customHeight="1">
      <c r="A710" s="281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</row>
    <row r="711" ht="15.75" customHeight="1">
      <c r="A711" s="281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</row>
    <row r="712" ht="15.75" customHeight="1">
      <c r="A712" s="281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</row>
    <row r="713" ht="15.75" customHeight="1">
      <c r="A713" s="281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</row>
    <row r="714" ht="15.75" customHeight="1">
      <c r="A714" s="281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</row>
    <row r="715" ht="15.75" customHeight="1">
      <c r="A715" s="281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</row>
    <row r="716" ht="15.75" customHeight="1">
      <c r="A716" s="281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</row>
    <row r="717" ht="15.75" customHeight="1">
      <c r="A717" s="281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</row>
    <row r="718" ht="15.75" customHeight="1">
      <c r="A718" s="281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</row>
    <row r="719" ht="15.75" customHeight="1">
      <c r="A719" s="281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</row>
    <row r="720" ht="15.75" customHeight="1">
      <c r="A720" s="281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</row>
    <row r="721" ht="15.75" customHeight="1">
      <c r="A721" s="281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</row>
    <row r="722" ht="15.75" customHeight="1">
      <c r="A722" s="281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</row>
    <row r="723" ht="15.75" customHeight="1">
      <c r="A723" s="281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</row>
    <row r="724" ht="15.75" customHeight="1">
      <c r="A724" s="281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</row>
    <row r="725" ht="15.75" customHeight="1">
      <c r="A725" s="281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</row>
    <row r="726" ht="15.75" customHeight="1">
      <c r="A726" s="281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</row>
    <row r="727" ht="15.75" customHeight="1">
      <c r="A727" s="281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</row>
    <row r="728" ht="15.75" customHeight="1">
      <c r="A728" s="281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</row>
    <row r="729" ht="15.75" customHeight="1">
      <c r="A729" s="281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</row>
    <row r="730" ht="15.75" customHeight="1">
      <c r="A730" s="281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</row>
    <row r="731" ht="15.75" customHeight="1">
      <c r="A731" s="281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</row>
    <row r="732" ht="15.75" customHeight="1">
      <c r="A732" s="281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</row>
    <row r="733" ht="15.75" customHeight="1">
      <c r="A733" s="281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</row>
    <row r="734" ht="15.75" customHeight="1">
      <c r="A734" s="281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</row>
    <row r="735" ht="15.75" customHeight="1">
      <c r="A735" s="281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</row>
    <row r="736" ht="15.75" customHeight="1">
      <c r="A736" s="281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</row>
    <row r="737" ht="15.75" customHeight="1">
      <c r="A737" s="281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</row>
    <row r="738" ht="15.75" customHeight="1">
      <c r="A738" s="281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</row>
    <row r="739" ht="15.75" customHeight="1">
      <c r="A739" s="281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</row>
    <row r="740" ht="15.75" customHeight="1">
      <c r="A740" s="281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</row>
    <row r="741" ht="15.75" customHeight="1">
      <c r="A741" s="281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</row>
    <row r="742" ht="15.75" customHeight="1">
      <c r="A742" s="281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</row>
    <row r="743" ht="15.75" customHeight="1">
      <c r="A743" s="281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</row>
    <row r="744" ht="15.75" customHeight="1">
      <c r="A744" s="281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</row>
    <row r="745" ht="15.75" customHeight="1">
      <c r="A745" s="281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</row>
    <row r="746" ht="15.75" customHeight="1">
      <c r="A746" s="281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</row>
    <row r="747" ht="15.75" customHeight="1">
      <c r="A747" s="281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</row>
    <row r="748" ht="15.75" customHeight="1">
      <c r="A748" s="281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</row>
    <row r="749" ht="15.75" customHeight="1">
      <c r="A749" s="281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</row>
    <row r="750" ht="15.75" customHeight="1">
      <c r="A750" s="281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</row>
    <row r="751" ht="15.75" customHeight="1">
      <c r="A751" s="281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</row>
    <row r="752" ht="15.75" customHeight="1">
      <c r="A752" s="281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</row>
    <row r="753" ht="15.75" customHeight="1">
      <c r="A753" s="281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</row>
    <row r="754" ht="15.75" customHeight="1">
      <c r="A754" s="281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</row>
    <row r="755" ht="15.75" customHeight="1">
      <c r="A755" s="281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</row>
    <row r="756" ht="15.75" customHeight="1">
      <c r="A756" s="281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</row>
    <row r="757" ht="15.75" customHeight="1">
      <c r="A757" s="281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</row>
    <row r="758" ht="15.75" customHeight="1">
      <c r="A758" s="281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</row>
    <row r="759" ht="15.75" customHeight="1">
      <c r="A759" s="281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</row>
    <row r="760" ht="15.75" customHeight="1">
      <c r="A760" s="281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</row>
    <row r="761" ht="15.75" customHeight="1">
      <c r="A761" s="281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</row>
    <row r="762" ht="15.75" customHeight="1">
      <c r="A762" s="281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</row>
    <row r="763" ht="15.75" customHeight="1">
      <c r="A763" s="281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</row>
    <row r="764" ht="15.75" customHeight="1">
      <c r="A764" s="281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</row>
    <row r="765" ht="15.75" customHeight="1">
      <c r="A765" s="281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</row>
    <row r="766" ht="15.75" customHeight="1">
      <c r="A766" s="281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</row>
    <row r="767" ht="15.75" customHeight="1">
      <c r="A767" s="281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</row>
    <row r="768" ht="15.75" customHeight="1">
      <c r="A768" s="281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</row>
    <row r="769" ht="15.75" customHeight="1">
      <c r="A769" s="281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</row>
    <row r="770" ht="15.75" customHeight="1">
      <c r="A770" s="281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</row>
    <row r="771" ht="15.75" customHeight="1">
      <c r="A771" s="281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</row>
    <row r="772" ht="15.75" customHeight="1">
      <c r="A772" s="281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</row>
    <row r="773" ht="15.75" customHeight="1">
      <c r="A773" s="281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</row>
    <row r="774" ht="15.75" customHeight="1">
      <c r="A774" s="281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</row>
    <row r="775" ht="15.75" customHeight="1">
      <c r="A775" s="281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</row>
    <row r="776" ht="15.75" customHeight="1">
      <c r="A776" s="281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</row>
    <row r="777" ht="15.75" customHeight="1">
      <c r="A777" s="281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</row>
    <row r="778" ht="15.75" customHeight="1">
      <c r="A778" s="281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</row>
    <row r="779" ht="15.75" customHeight="1">
      <c r="A779" s="281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</row>
    <row r="780" ht="15.75" customHeight="1">
      <c r="A780" s="281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</row>
    <row r="781" ht="15.75" customHeight="1">
      <c r="A781" s="281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</row>
    <row r="782" ht="15.75" customHeight="1">
      <c r="A782" s="281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</row>
    <row r="783" ht="15.75" customHeight="1">
      <c r="A783" s="281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</row>
    <row r="784" ht="15.75" customHeight="1">
      <c r="A784" s="281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</row>
    <row r="785" ht="15.75" customHeight="1">
      <c r="A785" s="281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</row>
    <row r="786" ht="15.75" customHeight="1">
      <c r="A786" s="281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</row>
    <row r="787" ht="15.75" customHeight="1">
      <c r="A787" s="281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</row>
    <row r="788" ht="15.75" customHeight="1">
      <c r="A788" s="281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</row>
    <row r="789" ht="15.75" customHeight="1">
      <c r="A789" s="281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</row>
    <row r="790" ht="15.75" customHeight="1">
      <c r="A790" s="281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</row>
    <row r="791" ht="15.75" customHeight="1">
      <c r="A791" s="281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</row>
    <row r="792" ht="15.75" customHeight="1">
      <c r="A792" s="281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</row>
    <row r="793" ht="15.75" customHeight="1">
      <c r="A793" s="281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</row>
    <row r="794" ht="15.75" customHeight="1">
      <c r="A794" s="281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</row>
    <row r="795" ht="15.75" customHeight="1">
      <c r="A795" s="281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</row>
    <row r="796" ht="15.75" customHeight="1">
      <c r="A796" s="281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</row>
    <row r="797" ht="15.75" customHeight="1">
      <c r="A797" s="281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</row>
    <row r="798" ht="15.75" customHeight="1">
      <c r="A798" s="281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</row>
    <row r="799" ht="15.75" customHeight="1">
      <c r="A799" s="281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</row>
    <row r="800" ht="15.75" customHeight="1">
      <c r="A800" s="281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</row>
    <row r="801" ht="15.75" customHeight="1">
      <c r="A801" s="281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</row>
    <row r="802" ht="15.75" customHeight="1">
      <c r="A802" s="281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</row>
    <row r="803" ht="15.75" customHeight="1">
      <c r="A803" s="281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</row>
    <row r="804" ht="15.75" customHeight="1">
      <c r="A804" s="281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</row>
    <row r="805" ht="15.75" customHeight="1">
      <c r="A805" s="281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</row>
    <row r="806" ht="15.75" customHeight="1">
      <c r="A806" s="281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</row>
    <row r="807" ht="15.75" customHeight="1">
      <c r="A807" s="281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</row>
    <row r="808" ht="15.75" customHeight="1">
      <c r="A808" s="281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</row>
    <row r="809" ht="15.75" customHeight="1">
      <c r="A809" s="281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</row>
    <row r="810" ht="15.75" customHeight="1">
      <c r="A810" s="281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</row>
    <row r="811" ht="15.75" customHeight="1">
      <c r="A811" s="281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</row>
    <row r="812" ht="15.75" customHeight="1">
      <c r="A812" s="281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</row>
    <row r="813" ht="15.75" customHeight="1">
      <c r="A813" s="281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</row>
    <row r="814" ht="15.75" customHeight="1">
      <c r="A814" s="281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</row>
    <row r="815" ht="15.75" customHeight="1">
      <c r="A815" s="281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</row>
    <row r="816" ht="15.75" customHeight="1">
      <c r="A816" s="281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</row>
    <row r="817" ht="15.75" customHeight="1">
      <c r="A817" s="281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</row>
    <row r="818" ht="15.75" customHeight="1">
      <c r="A818" s="281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</row>
    <row r="819" ht="15.75" customHeight="1">
      <c r="A819" s="281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</row>
    <row r="820" ht="15.75" customHeight="1">
      <c r="A820" s="281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</row>
    <row r="821" ht="15.75" customHeight="1">
      <c r="A821" s="281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</row>
    <row r="822" ht="15.75" customHeight="1">
      <c r="A822" s="281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</row>
    <row r="823" ht="15.75" customHeight="1">
      <c r="A823" s="281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</row>
    <row r="824" ht="15.75" customHeight="1">
      <c r="A824" s="281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</row>
    <row r="825" ht="15.75" customHeight="1">
      <c r="A825" s="281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</row>
    <row r="826" ht="15.75" customHeight="1">
      <c r="A826" s="281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</row>
    <row r="827" ht="15.75" customHeight="1">
      <c r="A827" s="281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</row>
    <row r="828" ht="15.75" customHeight="1">
      <c r="A828" s="281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</row>
    <row r="829" ht="15.75" customHeight="1">
      <c r="A829" s="281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</row>
    <row r="830" ht="15.75" customHeight="1">
      <c r="A830" s="281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</row>
    <row r="831" ht="15.75" customHeight="1">
      <c r="A831" s="281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</row>
    <row r="832" ht="15.75" customHeight="1">
      <c r="A832" s="281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</row>
    <row r="833" ht="15.75" customHeight="1">
      <c r="A833" s="281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</row>
    <row r="834" ht="15.75" customHeight="1">
      <c r="A834" s="281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</row>
    <row r="835" ht="15.75" customHeight="1">
      <c r="A835" s="281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</row>
    <row r="836" ht="15.75" customHeight="1">
      <c r="A836" s="281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</row>
    <row r="837" ht="15.75" customHeight="1">
      <c r="A837" s="281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</row>
    <row r="838" ht="15.75" customHeight="1">
      <c r="A838" s="281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</row>
    <row r="839" ht="15.75" customHeight="1">
      <c r="A839" s="281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</row>
    <row r="840" ht="15.75" customHeight="1">
      <c r="A840" s="281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</row>
    <row r="841" ht="15.75" customHeight="1">
      <c r="A841" s="281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</row>
    <row r="842" ht="15.75" customHeight="1">
      <c r="A842" s="281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</row>
    <row r="843" ht="15.75" customHeight="1">
      <c r="A843" s="281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</row>
    <row r="844" ht="15.75" customHeight="1">
      <c r="A844" s="281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</row>
    <row r="845" ht="15.75" customHeight="1">
      <c r="A845" s="281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</row>
    <row r="846" ht="15.75" customHeight="1">
      <c r="A846" s="281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</row>
    <row r="847" ht="15.75" customHeight="1">
      <c r="A847" s="281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</row>
    <row r="848" ht="15.75" customHeight="1">
      <c r="A848" s="281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</row>
    <row r="849" ht="15.75" customHeight="1">
      <c r="A849" s="281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</row>
    <row r="850" ht="15.75" customHeight="1">
      <c r="A850" s="281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</row>
    <row r="851" ht="15.75" customHeight="1">
      <c r="A851" s="281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</row>
    <row r="852" ht="15.75" customHeight="1">
      <c r="A852" s="281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</row>
    <row r="853" ht="15.75" customHeight="1">
      <c r="A853" s="281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</row>
    <row r="854" ht="15.75" customHeight="1">
      <c r="A854" s="281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</row>
    <row r="855" ht="15.75" customHeight="1">
      <c r="A855" s="281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</row>
    <row r="856" ht="15.75" customHeight="1">
      <c r="A856" s="281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</row>
    <row r="857" ht="15.75" customHeight="1">
      <c r="A857" s="281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</row>
    <row r="858" ht="15.75" customHeight="1">
      <c r="A858" s="281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</row>
    <row r="859" ht="15.75" customHeight="1">
      <c r="A859" s="281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</row>
    <row r="860" ht="15.75" customHeight="1">
      <c r="A860" s="281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</row>
    <row r="861" ht="15.75" customHeight="1">
      <c r="A861" s="281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</row>
    <row r="862" ht="15.75" customHeight="1">
      <c r="A862" s="281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</row>
    <row r="863" ht="15.75" customHeight="1">
      <c r="A863" s="281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</row>
    <row r="864" ht="15.75" customHeight="1">
      <c r="A864" s="281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</row>
    <row r="865" ht="15.75" customHeight="1">
      <c r="A865" s="281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</row>
    <row r="866" ht="15.75" customHeight="1">
      <c r="A866" s="281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</row>
    <row r="867" ht="15.75" customHeight="1">
      <c r="A867" s="281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</row>
    <row r="868" ht="15.75" customHeight="1">
      <c r="A868" s="281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</row>
    <row r="869" ht="15.75" customHeight="1">
      <c r="A869" s="281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</row>
    <row r="870" ht="15.75" customHeight="1">
      <c r="A870" s="281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</row>
    <row r="871" ht="15.75" customHeight="1">
      <c r="A871" s="281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</row>
    <row r="872" ht="15.75" customHeight="1">
      <c r="A872" s="281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</row>
    <row r="873" ht="15.75" customHeight="1">
      <c r="A873" s="281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</row>
    <row r="874" ht="15.75" customHeight="1">
      <c r="A874" s="281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</row>
    <row r="875" ht="15.75" customHeight="1">
      <c r="A875" s="281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</row>
    <row r="876" ht="15.75" customHeight="1">
      <c r="A876" s="281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</row>
    <row r="877" ht="15.75" customHeight="1">
      <c r="A877" s="281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</row>
    <row r="878" ht="15.75" customHeight="1">
      <c r="A878" s="281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</row>
    <row r="879" ht="15.75" customHeight="1">
      <c r="A879" s="281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</row>
    <row r="880" ht="15.75" customHeight="1">
      <c r="A880" s="281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</row>
    <row r="881" ht="15.75" customHeight="1">
      <c r="A881" s="281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</row>
    <row r="882" ht="15.75" customHeight="1">
      <c r="A882" s="281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</row>
    <row r="883" ht="15.75" customHeight="1">
      <c r="A883" s="281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</row>
    <row r="884" ht="15.75" customHeight="1">
      <c r="A884" s="281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</row>
    <row r="885" ht="15.75" customHeight="1">
      <c r="A885" s="281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</row>
    <row r="886" ht="15.75" customHeight="1">
      <c r="A886" s="281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</row>
    <row r="887" ht="15.75" customHeight="1">
      <c r="A887" s="281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</row>
    <row r="888" ht="15.75" customHeight="1">
      <c r="A888" s="281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</row>
    <row r="889" ht="15.75" customHeight="1">
      <c r="A889" s="281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</row>
    <row r="890" ht="15.75" customHeight="1">
      <c r="A890" s="281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</row>
    <row r="891" ht="15.75" customHeight="1">
      <c r="A891" s="281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</row>
    <row r="892" ht="15.75" customHeight="1">
      <c r="A892" s="281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</row>
    <row r="893" ht="15.75" customHeight="1">
      <c r="A893" s="281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</row>
    <row r="894" ht="15.75" customHeight="1">
      <c r="A894" s="281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</row>
    <row r="895" ht="15.75" customHeight="1">
      <c r="A895" s="281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</row>
    <row r="896" ht="15.75" customHeight="1">
      <c r="A896" s="281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</row>
    <row r="897" ht="15.75" customHeight="1">
      <c r="A897" s="281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</row>
    <row r="898" ht="15.75" customHeight="1">
      <c r="A898" s="281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</row>
    <row r="899" ht="15.75" customHeight="1">
      <c r="A899" s="281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</row>
    <row r="900" ht="15.75" customHeight="1">
      <c r="A900" s="281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</row>
    <row r="901" ht="15.75" customHeight="1">
      <c r="A901" s="281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</row>
    <row r="902" ht="15.75" customHeight="1">
      <c r="A902" s="281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</row>
    <row r="903" ht="15.75" customHeight="1">
      <c r="A903" s="281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</row>
    <row r="904" ht="15.75" customHeight="1">
      <c r="A904" s="281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</row>
    <row r="905" ht="15.75" customHeight="1">
      <c r="A905" s="281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</row>
    <row r="906" ht="15.75" customHeight="1">
      <c r="A906" s="281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</row>
    <row r="907" ht="15.75" customHeight="1">
      <c r="A907" s="281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</row>
    <row r="908" ht="15.75" customHeight="1">
      <c r="A908" s="281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</row>
    <row r="909" ht="15.75" customHeight="1">
      <c r="A909" s="281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</row>
    <row r="910" ht="15.75" customHeight="1">
      <c r="A910" s="281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</row>
    <row r="911" ht="15.75" customHeight="1">
      <c r="A911" s="281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</row>
    <row r="912" ht="15.75" customHeight="1">
      <c r="A912" s="281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</row>
    <row r="913" ht="15.75" customHeight="1">
      <c r="A913" s="281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</row>
    <row r="914" ht="15.75" customHeight="1">
      <c r="A914" s="281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</row>
    <row r="915" ht="15.75" customHeight="1">
      <c r="A915" s="281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</row>
    <row r="916" ht="15.75" customHeight="1">
      <c r="A916" s="281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</row>
    <row r="917" ht="15.75" customHeight="1">
      <c r="A917" s="281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</row>
    <row r="918" ht="15.75" customHeight="1">
      <c r="A918" s="281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</row>
    <row r="919" ht="15.75" customHeight="1">
      <c r="A919" s="281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</row>
    <row r="920" ht="15.75" customHeight="1">
      <c r="A920" s="281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</row>
    <row r="921" ht="15.75" customHeight="1">
      <c r="A921" s="281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</row>
    <row r="922" ht="15.75" customHeight="1">
      <c r="A922" s="281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</row>
    <row r="923" ht="15.75" customHeight="1">
      <c r="A923" s="281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</row>
    <row r="924" ht="15.75" customHeight="1">
      <c r="A924" s="281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</row>
    <row r="925" ht="15.75" customHeight="1">
      <c r="A925" s="281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</row>
    <row r="926" ht="15.75" customHeight="1">
      <c r="A926" s="281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</row>
    <row r="927" ht="15.75" customHeight="1">
      <c r="A927" s="281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</row>
    <row r="928" ht="15.75" customHeight="1">
      <c r="A928" s="281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</row>
    <row r="929" ht="15.75" customHeight="1">
      <c r="A929" s="281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</row>
    <row r="930" ht="15.75" customHeight="1">
      <c r="A930" s="281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</row>
    <row r="931" ht="15.75" customHeight="1">
      <c r="A931" s="281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</row>
    <row r="932" ht="15.75" customHeight="1">
      <c r="A932" s="281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</row>
    <row r="933" ht="15.75" customHeight="1">
      <c r="A933" s="281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</row>
    <row r="934" ht="15.75" customHeight="1">
      <c r="A934" s="281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</row>
    <row r="935" ht="15.75" customHeight="1">
      <c r="A935" s="281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</row>
    <row r="936" ht="15.75" customHeight="1">
      <c r="A936" s="281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</row>
    <row r="937" ht="15.75" customHeight="1">
      <c r="A937" s="281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</row>
    <row r="938" ht="15.75" customHeight="1">
      <c r="A938" s="281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</row>
    <row r="939" ht="15.75" customHeight="1">
      <c r="A939" s="281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</row>
    <row r="940" ht="15.75" customHeight="1">
      <c r="A940" s="281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</row>
    <row r="941" ht="15.75" customHeight="1">
      <c r="A941" s="281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</row>
    <row r="942" ht="15.75" customHeight="1">
      <c r="A942" s="281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</row>
    <row r="943" ht="15.75" customHeight="1">
      <c r="A943" s="281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</row>
    <row r="944" ht="15.75" customHeight="1">
      <c r="A944" s="281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</row>
    <row r="945" ht="15.75" customHeight="1">
      <c r="A945" s="281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</row>
    <row r="946" ht="15.75" customHeight="1">
      <c r="A946" s="281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</row>
    <row r="947" ht="15.75" customHeight="1">
      <c r="A947" s="281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</row>
    <row r="948" ht="15.75" customHeight="1">
      <c r="A948" s="281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</row>
    <row r="949" ht="15.75" customHeight="1">
      <c r="A949" s="281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</row>
    <row r="950" ht="15.75" customHeight="1">
      <c r="A950" s="281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</row>
    <row r="951" ht="15.75" customHeight="1">
      <c r="A951" s="281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</row>
    <row r="952" ht="15.75" customHeight="1">
      <c r="A952" s="281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</row>
    <row r="953" ht="15.75" customHeight="1">
      <c r="A953" s="281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</row>
    <row r="954" ht="15.75" customHeight="1">
      <c r="A954" s="281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</row>
    <row r="955" ht="15.75" customHeight="1">
      <c r="A955" s="281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</row>
    <row r="956" ht="15.75" customHeight="1">
      <c r="A956" s="281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</row>
    <row r="957" ht="15.75" customHeight="1">
      <c r="A957" s="281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</row>
    <row r="958" ht="15.75" customHeight="1">
      <c r="A958" s="281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</row>
    <row r="959" ht="15.75" customHeight="1">
      <c r="A959" s="281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</row>
    <row r="960" ht="15.75" customHeight="1">
      <c r="A960" s="281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</row>
    <row r="961" ht="15.75" customHeight="1">
      <c r="A961" s="281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</row>
    <row r="962" ht="15.75" customHeight="1">
      <c r="A962" s="281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</row>
    <row r="963" ht="15.75" customHeight="1">
      <c r="A963" s="281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</row>
    <row r="964" ht="15.75" customHeight="1">
      <c r="A964" s="281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</row>
    <row r="965" ht="15.75" customHeight="1">
      <c r="A965" s="281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</row>
    <row r="966" ht="15.75" customHeight="1">
      <c r="A966" s="281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</row>
    <row r="967" ht="15.75" customHeight="1">
      <c r="A967" s="281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</row>
    <row r="968" ht="15.75" customHeight="1">
      <c r="A968" s="281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</row>
    <row r="969" ht="15.75" customHeight="1">
      <c r="A969" s="281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</row>
    <row r="970" ht="15.75" customHeight="1">
      <c r="A970" s="281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</row>
    <row r="971" ht="15.75" customHeight="1">
      <c r="A971" s="281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</row>
    <row r="972" ht="15.75" customHeight="1">
      <c r="A972" s="281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</row>
    <row r="973" ht="15.75" customHeight="1">
      <c r="A973" s="281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</row>
    <row r="974" ht="15.75" customHeight="1">
      <c r="A974" s="281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</row>
    <row r="975" ht="15.75" customHeight="1">
      <c r="A975" s="281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</row>
    <row r="976" ht="15.75" customHeight="1">
      <c r="A976" s="281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</row>
    <row r="977" ht="15.75" customHeight="1">
      <c r="A977" s="281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</row>
    <row r="978" ht="15.75" customHeight="1">
      <c r="A978" s="281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</row>
    <row r="979" ht="15.75" customHeight="1">
      <c r="A979" s="281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</row>
    <row r="980" ht="15.75" customHeight="1">
      <c r="A980" s="281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</row>
    <row r="981" ht="15.75" customHeight="1">
      <c r="A981" s="281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</row>
    <row r="982" ht="15.75" customHeight="1">
      <c r="A982" s="281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</row>
    <row r="983" ht="15.75" customHeight="1">
      <c r="A983" s="281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</row>
    <row r="984" ht="15.75" customHeight="1">
      <c r="A984" s="281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</row>
    <row r="985" ht="15.75" customHeight="1">
      <c r="A985" s="281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</row>
    <row r="986" ht="15.75" customHeight="1">
      <c r="A986" s="281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</row>
    <row r="987" ht="15.75" customHeight="1">
      <c r="A987" s="281"/>
      <c r="B987" s="228"/>
      <c r="C987" s="228"/>
      <c r="D987" s="228"/>
      <c r="E987" s="22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</row>
    <row r="988" ht="15.75" customHeight="1">
      <c r="A988" s="281"/>
      <c r="B988" s="228"/>
      <c r="C988" s="228"/>
      <c r="D988" s="228"/>
      <c r="E988" s="22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</row>
    <row r="989" ht="15.75" customHeight="1">
      <c r="A989" s="281"/>
      <c r="B989" s="228"/>
      <c r="C989" s="228"/>
      <c r="D989" s="228"/>
      <c r="E989" s="22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</row>
    <row r="990" ht="15.75" customHeight="1">
      <c r="A990" s="281"/>
      <c r="B990" s="228"/>
      <c r="C990" s="228"/>
      <c r="D990" s="228"/>
      <c r="E990" s="22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</row>
    <row r="991" ht="15.75" customHeight="1">
      <c r="A991" s="281"/>
      <c r="B991" s="228"/>
      <c r="C991" s="228"/>
      <c r="D991" s="228"/>
      <c r="E991" s="22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</row>
    <row r="992" ht="15.75" customHeight="1">
      <c r="A992" s="281"/>
      <c r="B992" s="228"/>
      <c r="C992" s="228"/>
      <c r="D992" s="228"/>
      <c r="E992" s="228"/>
      <c r="F992" s="228"/>
      <c r="G992" s="228"/>
      <c r="H992" s="228"/>
      <c r="I992" s="228"/>
      <c r="J992" s="228"/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</row>
    <row r="993" ht="15.75" customHeight="1">
      <c r="A993" s="281"/>
      <c r="B993" s="228"/>
      <c r="C993" s="228"/>
      <c r="D993" s="228"/>
      <c r="E993" s="228"/>
      <c r="F993" s="228"/>
      <c r="G993" s="228"/>
      <c r="H993" s="228"/>
      <c r="I993" s="228"/>
      <c r="J993" s="228"/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</row>
    <row r="994" ht="15.75" customHeight="1">
      <c r="A994" s="281"/>
      <c r="B994" s="228"/>
      <c r="C994" s="228"/>
      <c r="D994" s="228"/>
      <c r="E994" s="228"/>
      <c r="F994" s="228"/>
      <c r="G994" s="228"/>
      <c r="H994" s="228"/>
      <c r="I994" s="228"/>
      <c r="J994" s="228"/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</row>
    <row r="995" ht="15.75" customHeight="1">
      <c r="A995" s="281"/>
      <c r="B995" s="228"/>
      <c r="C995" s="228"/>
      <c r="D995" s="228"/>
      <c r="E995" s="228"/>
      <c r="F995" s="228"/>
      <c r="G995" s="228"/>
      <c r="H995" s="228"/>
      <c r="I995" s="228"/>
      <c r="J995" s="228"/>
      <c r="K995" s="228"/>
      <c r="L995" s="228"/>
      <c r="M995" s="228"/>
      <c r="N995" s="228"/>
      <c r="O995" s="228"/>
      <c r="P995" s="228"/>
      <c r="Q995" s="228"/>
      <c r="R995" s="228"/>
      <c r="S995" s="228"/>
      <c r="T995" s="228"/>
      <c r="U995" s="228"/>
      <c r="V995" s="228"/>
      <c r="W995" s="228"/>
      <c r="X995" s="228"/>
      <c r="Y995" s="228"/>
      <c r="Z995" s="228"/>
    </row>
    <row r="996" ht="15.75" customHeight="1">
      <c r="A996" s="281"/>
      <c r="B996" s="228"/>
      <c r="C996" s="228"/>
      <c r="D996" s="228"/>
      <c r="E996" s="228"/>
      <c r="F996" s="228"/>
      <c r="G996" s="228"/>
      <c r="H996" s="228"/>
      <c r="I996" s="228"/>
      <c r="J996" s="228"/>
      <c r="K996" s="228"/>
      <c r="L996" s="228"/>
      <c r="M996" s="228"/>
      <c r="N996" s="228"/>
      <c r="O996" s="228"/>
      <c r="P996" s="228"/>
      <c r="Q996" s="228"/>
      <c r="R996" s="228"/>
      <c r="S996" s="228"/>
      <c r="T996" s="228"/>
      <c r="U996" s="228"/>
      <c r="V996" s="228"/>
      <c r="W996" s="228"/>
      <c r="X996" s="228"/>
      <c r="Y996" s="228"/>
      <c r="Z996" s="228"/>
    </row>
    <row r="997" ht="15.75" customHeight="1">
      <c r="A997" s="281"/>
      <c r="B997" s="228"/>
      <c r="C997" s="228"/>
      <c r="D997" s="228"/>
      <c r="E997" s="228"/>
      <c r="F997" s="228"/>
      <c r="G997" s="228"/>
      <c r="H997" s="228"/>
      <c r="I997" s="228"/>
      <c r="J997" s="228"/>
      <c r="K997" s="228"/>
      <c r="L997" s="228"/>
      <c r="M997" s="228"/>
      <c r="N997" s="228"/>
      <c r="O997" s="228"/>
      <c r="P997" s="228"/>
      <c r="Q997" s="228"/>
      <c r="R997" s="228"/>
      <c r="S997" s="228"/>
      <c r="T997" s="228"/>
      <c r="U997" s="228"/>
      <c r="V997" s="228"/>
      <c r="W997" s="228"/>
      <c r="X997" s="228"/>
      <c r="Y997" s="228"/>
      <c r="Z997" s="228"/>
    </row>
    <row r="998" ht="15.75" customHeight="1">
      <c r="A998" s="281"/>
      <c r="B998" s="228"/>
      <c r="C998" s="228"/>
      <c r="D998" s="228"/>
      <c r="E998" s="228"/>
      <c r="F998" s="228"/>
      <c r="G998" s="228"/>
      <c r="H998" s="228"/>
      <c r="I998" s="228"/>
      <c r="J998" s="228"/>
      <c r="K998" s="228"/>
      <c r="L998" s="228"/>
      <c r="M998" s="228"/>
      <c r="N998" s="228"/>
      <c r="O998" s="228"/>
      <c r="P998" s="228"/>
      <c r="Q998" s="228"/>
      <c r="R998" s="228"/>
      <c r="S998" s="228"/>
      <c r="T998" s="228"/>
      <c r="U998" s="228"/>
      <c r="V998" s="228"/>
      <c r="W998" s="228"/>
      <c r="X998" s="228"/>
      <c r="Y998" s="228"/>
      <c r="Z998" s="228"/>
    </row>
    <row r="999" ht="15.75" customHeight="1">
      <c r="A999" s="281"/>
      <c r="B999" s="228"/>
      <c r="C999" s="228"/>
      <c r="D999" s="228"/>
      <c r="E999" s="228"/>
      <c r="F999" s="228"/>
      <c r="G999" s="228"/>
      <c r="H999" s="228"/>
      <c r="I999" s="228"/>
      <c r="J999" s="228"/>
      <c r="K999" s="228"/>
      <c r="L999" s="228"/>
      <c r="M999" s="228"/>
      <c r="N999" s="228"/>
      <c r="O999" s="228"/>
      <c r="P999" s="228"/>
      <c r="Q999" s="228"/>
      <c r="R999" s="228"/>
      <c r="S999" s="228"/>
      <c r="T999" s="228"/>
      <c r="U999" s="228"/>
      <c r="V999" s="228"/>
      <c r="W999" s="228"/>
      <c r="X999" s="228"/>
      <c r="Y999" s="228"/>
      <c r="Z999" s="228"/>
    </row>
    <row r="1000" ht="15.75" customHeight="1">
      <c r="A1000" s="281"/>
      <c r="B1000" s="228"/>
      <c r="C1000" s="228"/>
      <c r="D1000" s="228"/>
      <c r="E1000" s="228"/>
      <c r="F1000" s="228"/>
      <c r="G1000" s="228"/>
      <c r="H1000" s="228"/>
      <c r="I1000" s="228"/>
      <c r="J1000" s="228"/>
      <c r="K1000" s="228"/>
      <c r="L1000" s="228"/>
      <c r="M1000" s="228"/>
      <c r="N1000" s="228"/>
      <c r="O1000" s="228"/>
      <c r="P1000" s="228"/>
      <c r="Q1000" s="228"/>
      <c r="R1000" s="228"/>
      <c r="S1000" s="228"/>
      <c r="T1000" s="228"/>
      <c r="U1000" s="228"/>
      <c r="V1000" s="228"/>
      <c r="W1000" s="228"/>
      <c r="X1000" s="228"/>
      <c r="Y1000" s="228"/>
      <c r="Z1000" s="228"/>
    </row>
    <row r="1001" ht="15.75" customHeight="1">
      <c r="A1001" s="281"/>
      <c r="B1001" s="228"/>
      <c r="C1001" s="228"/>
      <c r="D1001" s="228"/>
      <c r="E1001" s="228"/>
      <c r="F1001" s="228"/>
      <c r="G1001" s="228"/>
      <c r="H1001" s="228"/>
      <c r="I1001" s="228"/>
      <c r="J1001" s="228"/>
      <c r="K1001" s="228"/>
      <c r="L1001" s="228"/>
      <c r="M1001" s="228"/>
      <c r="N1001" s="228"/>
      <c r="O1001" s="228"/>
      <c r="P1001" s="228"/>
      <c r="Q1001" s="228"/>
      <c r="R1001" s="228"/>
      <c r="S1001" s="228"/>
      <c r="T1001" s="228"/>
      <c r="U1001" s="228"/>
      <c r="V1001" s="228"/>
      <c r="W1001" s="228"/>
      <c r="X1001" s="228"/>
      <c r="Y1001" s="228"/>
      <c r="Z1001" s="228"/>
    </row>
    <row r="1002" ht="15.75" customHeight="1">
      <c r="A1002" s="281"/>
      <c r="B1002" s="228"/>
      <c r="C1002" s="228"/>
      <c r="D1002" s="228"/>
      <c r="E1002" s="228"/>
      <c r="F1002" s="228"/>
      <c r="G1002" s="228"/>
      <c r="H1002" s="228"/>
      <c r="I1002" s="228"/>
      <c r="J1002" s="228"/>
      <c r="K1002" s="228"/>
      <c r="L1002" s="228"/>
      <c r="M1002" s="228"/>
      <c r="N1002" s="228"/>
      <c r="O1002" s="228"/>
      <c r="P1002" s="228"/>
      <c r="Q1002" s="228"/>
      <c r="R1002" s="228"/>
      <c r="S1002" s="228"/>
      <c r="T1002" s="228"/>
      <c r="U1002" s="228"/>
      <c r="V1002" s="228"/>
      <c r="W1002" s="228"/>
      <c r="X1002" s="228"/>
      <c r="Y1002" s="228"/>
      <c r="Z1002" s="228"/>
    </row>
    <row r="1003" ht="15.75" customHeight="1">
      <c r="A1003" s="281"/>
      <c r="B1003" s="228"/>
      <c r="C1003" s="228"/>
      <c r="D1003" s="228"/>
      <c r="E1003" s="228"/>
      <c r="F1003" s="228"/>
      <c r="G1003" s="228"/>
      <c r="H1003" s="228"/>
      <c r="I1003" s="228"/>
      <c r="J1003" s="228"/>
      <c r="K1003" s="228"/>
      <c r="L1003" s="228"/>
      <c r="M1003" s="228"/>
      <c r="N1003" s="228"/>
      <c r="O1003" s="228"/>
      <c r="P1003" s="228"/>
      <c r="Q1003" s="228"/>
      <c r="R1003" s="228"/>
      <c r="S1003" s="228"/>
      <c r="T1003" s="228"/>
      <c r="U1003" s="228"/>
      <c r="V1003" s="228"/>
      <c r="W1003" s="228"/>
      <c r="X1003" s="228"/>
      <c r="Y1003" s="228"/>
      <c r="Z1003" s="228"/>
    </row>
    <row r="1004" ht="15.75" customHeight="1">
      <c r="A1004" s="281"/>
      <c r="B1004" s="228"/>
      <c r="C1004" s="228"/>
      <c r="D1004" s="228"/>
      <c r="E1004" s="228"/>
      <c r="F1004" s="228"/>
      <c r="G1004" s="228"/>
      <c r="H1004" s="228"/>
      <c r="I1004" s="228"/>
      <c r="J1004" s="228"/>
      <c r="K1004" s="228"/>
      <c r="L1004" s="228"/>
      <c r="M1004" s="228"/>
      <c r="N1004" s="228"/>
      <c r="O1004" s="228"/>
      <c r="P1004" s="228"/>
      <c r="Q1004" s="228"/>
      <c r="R1004" s="228"/>
      <c r="S1004" s="228"/>
      <c r="T1004" s="228"/>
      <c r="U1004" s="228"/>
      <c r="V1004" s="228"/>
      <c r="W1004" s="228"/>
      <c r="X1004" s="228"/>
      <c r="Y1004" s="228"/>
      <c r="Z1004" s="228"/>
    </row>
    <row r="1005" ht="15.75" customHeight="1">
      <c r="A1005" s="281"/>
      <c r="B1005" s="228"/>
      <c r="C1005" s="228"/>
      <c r="D1005" s="228"/>
      <c r="E1005" s="228"/>
      <c r="F1005" s="228"/>
      <c r="G1005" s="228"/>
      <c r="H1005" s="228"/>
      <c r="I1005" s="228"/>
      <c r="J1005" s="228"/>
      <c r="K1005" s="228"/>
      <c r="L1005" s="228"/>
      <c r="M1005" s="228"/>
      <c r="N1005" s="228"/>
      <c r="O1005" s="228"/>
      <c r="P1005" s="228"/>
      <c r="Q1005" s="228"/>
      <c r="R1005" s="228"/>
      <c r="S1005" s="228"/>
      <c r="T1005" s="228"/>
      <c r="U1005" s="228"/>
      <c r="V1005" s="228"/>
      <c r="W1005" s="228"/>
      <c r="X1005" s="228"/>
      <c r="Y1005" s="228"/>
      <c r="Z1005" s="228"/>
    </row>
    <row r="1006" ht="15.75" customHeight="1">
      <c r="A1006" s="281"/>
      <c r="B1006" s="228"/>
      <c r="C1006" s="228"/>
      <c r="D1006" s="228"/>
      <c r="E1006" s="228"/>
      <c r="F1006" s="228"/>
      <c r="G1006" s="228"/>
      <c r="H1006" s="228"/>
      <c r="I1006" s="228"/>
      <c r="J1006" s="228"/>
      <c r="K1006" s="228"/>
      <c r="L1006" s="228"/>
      <c r="M1006" s="228"/>
      <c r="N1006" s="228"/>
      <c r="O1006" s="228"/>
      <c r="P1006" s="228"/>
      <c r="Q1006" s="228"/>
      <c r="R1006" s="228"/>
      <c r="S1006" s="228"/>
      <c r="T1006" s="228"/>
      <c r="U1006" s="228"/>
      <c r="V1006" s="228"/>
      <c r="W1006" s="228"/>
      <c r="X1006" s="228"/>
      <c r="Y1006" s="228"/>
      <c r="Z1006" s="228"/>
    </row>
  </sheetData>
  <dataValidations>
    <dataValidation type="list" allowBlank="1" showErrorMessage="1" sqref="F2:F4 F6:F12">
      <formula1>para!$A$2:$A$8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6.0"/>
    <col customWidth="1" min="3" max="3" width="1.5"/>
    <col customWidth="1" min="4" max="4" width="19.0"/>
    <col customWidth="1" min="5" max="5" width="1.38"/>
    <col customWidth="1" min="6" max="6" width="19.0"/>
    <col customWidth="1" min="7" max="7" width="1.5"/>
    <col customWidth="1" min="8" max="12" width="17.13"/>
    <col customWidth="1" min="13" max="13" width="1.5"/>
    <col customWidth="1" min="14" max="15" width="11.13"/>
    <col customWidth="1" min="16" max="16" width="10.25"/>
    <col customWidth="1" min="17" max="17" width="4.5"/>
    <col customWidth="1" min="18" max="26" width="14.0"/>
  </cols>
  <sheetData>
    <row r="1" ht="63.0" customHeight="1">
      <c r="B1" s="240" t="s">
        <v>550</v>
      </c>
      <c r="N1" s="241" t="s">
        <v>553</v>
      </c>
      <c r="O1" s="242" t="s">
        <v>555</v>
      </c>
      <c r="P1" s="234"/>
      <c r="Q1" s="234"/>
    </row>
    <row r="2" ht="12.0" customHeight="1">
      <c r="A2" s="243"/>
      <c r="B2" s="244"/>
      <c r="C2" s="243"/>
      <c r="D2" s="243"/>
      <c r="E2" s="243"/>
      <c r="F2" s="243"/>
      <c r="G2" s="243"/>
      <c r="H2" s="243"/>
      <c r="I2" s="243"/>
      <c r="J2" s="243"/>
      <c r="K2" s="243"/>
      <c r="L2" s="245"/>
      <c r="M2" s="243"/>
      <c r="N2" s="246"/>
      <c r="O2" s="247"/>
      <c r="P2" s="234"/>
      <c r="Q2" s="234"/>
    </row>
    <row r="3" ht="42.0" customHeight="1">
      <c r="A3" s="251"/>
      <c r="B3" s="252" t="s">
        <v>58</v>
      </c>
      <c r="C3" s="251"/>
      <c r="D3" s="253" t="s">
        <v>565</v>
      </c>
      <c r="E3" s="251"/>
      <c r="F3" s="253" t="s">
        <v>567</v>
      </c>
      <c r="G3" s="251"/>
      <c r="H3" s="252" t="s">
        <v>463</v>
      </c>
      <c r="I3" s="252" t="s">
        <v>569</v>
      </c>
      <c r="J3" s="252" t="s">
        <v>570</v>
      </c>
      <c r="L3" s="254"/>
      <c r="M3" s="251"/>
      <c r="N3" s="246">
        <f>COUNTA(D3:J3)</f>
        <v>5</v>
      </c>
      <c r="O3" s="247">
        <f>COUNTA(D4:J4)</f>
        <v>3</v>
      </c>
      <c r="P3" s="234"/>
      <c r="Q3" s="234"/>
    </row>
    <row r="4" ht="36.0" customHeight="1">
      <c r="A4" s="234"/>
      <c r="B4" s="255" t="s">
        <v>574</v>
      </c>
      <c r="C4" s="234"/>
      <c r="D4" s="257" t="s">
        <v>27</v>
      </c>
      <c r="E4" s="234"/>
      <c r="F4" s="258" t="s">
        <v>456</v>
      </c>
      <c r="G4" s="234"/>
      <c r="H4" s="259"/>
      <c r="I4" s="259"/>
      <c r="J4" s="259" t="s">
        <v>460</v>
      </c>
      <c r="L4" s="254"/>
      <c r="M4" s="234"/>
      <c r="N4" s="246"/>
      <c r="O4" s="247"/>
      <c r="P4" s="234"/>
      <c r="Q4" s="234"/>
    </row>
    <row r="5" ht="27.75" customHeight="1">
      <c r="A5" s="234"/>
      <c r="B5" s="254"/>
      <c r="C5" s="234"/>
      <c r="D5" s="254"/>
      <c r="E5" s="234"/>
      <c r="F5" s="254"/>
      <c r="G5" s="234"/>
      <c r="H5" s="254"/>
      <c r="I5" s="243"/>
      <c r="J5" s="243"/>
      <c r="K5" s="254"/>
      <c r="L5" s="254"/>
      <c r="M5" s="234"/>
      <c r="N5" s="246"/>
      <c r="O5" s="247"/>
      <c r="P5" s="234"/>
      <c r="Q5" s="234"/>
    </row>
    <row r="6" ht="42.0" customHeight="1">
      <c r="A6" s="251"/>
      <c r="B6" s="252" t="s">
        <v>90</v>
      </c>
      <c r="C6" s="251"/>
      <c r="D6" s="261"/>
      <c r="E6" s="251"/>
      <c r="F6" s="253" t="s">
        <v>576</v>
      </c>
      <c r="G6" s="251"/>
      <c r="H6" s="252" t="s">
        <v>439</v>
      </c>
      <c r="I6" s="253" t="s">
        <v>577</v>
      </c>
      <c r="J6" s="252" t="s">
        <v>447</v>
      </c>
      <c r="K6" s="252" t="s">
        <v>450</v>
      </c>
      <c r="L6" s="254"/>
      <c r="M6" s="251"/>
      <c r="N6" s="246">
        <f>COUNTA(F6:K6)</f>
        <v>5</v>
      </c>
      <c r="O6" s="247">
        <f>COUNTA(F7:K7)</f>
        <v>5</v>
      </c>
      <c r="P6" s="234"/>
      <c r="Q6" s="234"/>
    </row>
    <row r="7" ht="25.5" customHeight="1">
      <c r="A7" s="234"/>
      <c r="B7" s="263" t="s">
        <v>22</v>
      </c>
      <c r="C7" s="234"/>
      <c r="D7" s="254"/>
      <c r="E7" s="234"/>
      <c r="F7" s="258" t="s">
        <v>141</v>
      </c>
      <c r="G7" s="234"/>
      <c r="H7" s="259" t="s">
        <v>143</v>
      </c>
      <c r="I7" s="259" t="s">
        <v>148</v>
      </c>
      <c r="J7" s="259" t="s">
        <v>152</v>
      </c>
      <c r="K7" s="259" t="s">
        <v>580</v>
      </c>
      <c r="L7" s="254"/>
      <c r="M7" s="234"/>
      <c r="N7" s="246"/>
      <c r="O7" s="247"/>
      <c r="P7" s="234"/>
      <c r="Q7" s="234"/>
    </row>
    <row r="8" ht="27.75" customHeight="1">
      <c r="A8" s="234"/>
      <c r="B8" s="254"/>
      <c r="C8" s="234"/>
      <c r="D8" s="254"/>
      <c r="E8" s="234"/>
      <c r="F8" s="254"/>
      <c r="G8" s="234"/>
      <c r="H8" s="254"/>
      <c r="I8" s="254"/>
      <c r="J8" s="254"/>
      <c r="K8" s="254"/>
      <c r="L8" s="254"/>
      <c r="M8" s="234"/>
      <c r="N8" s="246"/>
      <c r="O8" s="247"/>
      <c r="P8" s="234"/>
      <c r="Q8" s="234"/>
    </row>
    <row r="9" ht="42.0" customHeight="1">
      <c r="A9" s="251"/>
      <c r="B9" s="252" t="s">
        <v>102</v>
      </c>
      <c r="C9" s="251"/>
      <c r="D9" s="253" t="s">
        <v>581</v>
      </c>
      <c r="E9" s="261"/>
      <c r="F9" s="253" t="s">
        <v>582</v>
      </c>
      <c r="G9" s="261"/>
      <c r="H9" s="265" t="s">
        <v>583</v>
      </c>
      <c r="I9" s="253" t="s">
        <v>585</v>
      </c>
      <c r="J9" s="253" t="s">
        <v>586</v>
      </c>
      <c r="K9" s="253" t="s">
        <v>587</v>
      </c>
      <c r="L9" s="266" t="s">
        <v>588</v>
      </c>
      <c r="M9" s="251"/>
      <c r="N9" s="246">
        <f>COUNTA(D9:L9)</f>
        <v>7</v>
      </c>
      <c r="O9" s="247">
        <f>COUNTA(D10:L10)</f>
        <v>7</v>
      </c>
      <c r="P9" s="234"/>
      <c r="Q9" s="234"/>
    </row>
    <row r="10" ht="25.5" customHeight="1">
      <c r="A10" s="234"/>
      <c r="B10" s="263" t="s">
        <v>23</v>
      </c>
      <c r="C10" s="234"/>
      <c r="D10" s="257" t="s">
        <v>70</v>
      </c>
      <c r="E10" s="254"/>
      <c r="F10" s="258" t="s">
        <v>119</v>
      </c>
      <c r="G10" s="254"/>
      <c r="H10" s="267" t="s">
        <v>130</v>
      </c>
      <c r="I10" s="267" t="s">
        <v>142</v>
      </c>
      <c r="J10" s="259" t="s">
        <v>147</v>
      </c>
      <c r="K10" s="259" t="s">
        <v>153</v>
      </c>
      <c r="L10" s="259" t="s">
        <v>164</v>
      </c>
      <c r="M10" s="234"/>
      <c r="N10" s="246"/>
      <c r="O10" s="247"/>
      <c r="P10" s="234"/>
      <c r="Q10" s="234"/>
    </row>
    <row r="11" ht="27.75" customHeight="1">
      <c r="A11" s="234"/>
      <c r="B11" s="254"/>
      <c r="C11" s="234"/>
      <c r="D11" s="254"/>
      <c r="E11" s="234"/>
      <c r="F11" s="254"/>
      <c r="G11" s="234"/>
      <c r="H11" s="254"/>
      <c r="I11" s="254"/>
      <c r="J11" s="254"/>
      <c r="K11" s="254"/>
      <c r="L11" s="254"/>
      <c r="M11" s="234"/>
      <c r="N11" s="246"/>
      <c r="O11" s="247"/>
      <c r="P11" s="234"/>
      <c r="Q11" s="234"/>
    </row>
    <row r="12" ht="42.0" customHeight="1">
      <c r="A12" s="234"/>
      <c r="B12" s="254"/>
      <c r="C12" s="234"/>
      <c r="D12" s="253" t="s">
        <v>593</v>
      </c>
      <c r="E12" s="234"/>
      <c r="F12" s="253" t="s">
        <v>594</v>
      </c>
      <c r="G12" s="234"/>
      <c r="H12" s="269" t="s">
        <v>146</v>
      </c>
      <c r="I12" s="270" t="s">
        <v>128</v>
      </c>
      <c r="J12" s="270" t="s">
        <v>596</v>
      </c>
      <c r="K12" s="269" t="s">
        <v>597</v>
      </c>
      <c r="L12" s="254"/>
      <c r="M12" s="234"/>
      <c r="N12" s="246">
        <f>COUNTA(D12:K12)</f>
        <v>6</v>
      </c>
      <c r="O12" s="247">
        <f>COUNTA(D13:K13)</f>
        <v>6</v>
      </c>
      <c r="P12" s="234"/>
      <c r="Q12" s="234"/>
    </row>
    <row r="13" ht="25.5" customHeight="1">
      <c r="A13" s="234"/>
      <c r="B13" s="254"/>
      <c r="C13" s="234"/>
      <c r="D13" s="257" t="s">
        <v>18</v>
      </c>
      <c r="E13" s="234"/>
      <c r="F13" s="272" t="s">
        <v>35</v>
      </c>
      <c r="G13" s="234"/>
      <c r="H13" s="273" t="s">
        <v>599</v>
      </c>
      <c r="I13" s="267" t="s">
        <v>68</v>
      </c>
      <c r="J13" s="273" t="s">
        <v>64</v>
      </c>
      <c r="K13" s="259" t="s">
        <v>39</v>
      </c>
      <c r="L13" s="254"/>
      <c r="M13" s="234"/>
      <c r="N13" s="246"/>
      <c r="O13" s="247"/>
      <c r="P13" s="234"/>
      <c r="Q13" s="234"/>
    </row>
    <row r="14" ht="27.75" customHeight="1">
      <c r="A14" s="234"/>
      <c r="B14" s="254"/>
      <c r="C14" s="234"/>
      <c r="D14" s="254"/>
      <c r="E14" s="234"/>
      <c r="F14" s="254"/>
      <c r="G14" s="234"/>
      <c r="H14" s="254"/>
      <c r="I14" s="254"/>
      <c r="J14" s="254"/>
      <c r="K14" s="254"/>
      <c r="L14" s="254"/>
      <c r="M14" s="234"/>
      <c r="N14" s="246"/>
      <c r="O14" s="247"/>
      <c r="P14" s="234"/>
      <c r="Q14" s="234"/>
    </row>
    <row r="15" ht="42.0" customHeight="1">
      <c r="A15" s="234"/>
      <c r="B15" s="254"/>
      <c r="C15" s="234"/>
      <c r="D15" s="269" t="s">
        <v>600</v>
      </c>
      <c r="E15" s="234"/>
      <c r="F15" s="253" t="s">
        <v>601</v>
      </c>
      <c r="G15" s="234"/>
      <c r="H15" s="269" t="s">
        <v>182</v>
      </c>
      <c r="I15" s="269" t="s">
        <v>191</v>
      </c>
      <c r="J15" s="269" t="s">
        <v>195</v>
      </c>
      <c r="K15" s="254"/>
      <c r="L15" s="254"/>
      <c r="M15" s="234"/>
      <c r="N15" s="246">
        <f>COUNTA(D15:J15)</f>
        <v>5</v>
      </c>
      <c r="O15" s="247">
        <f>COUNTA(D16:J16)</f>
        <v>5</v>
      </c>
      <c r="P15" s="234"/>
      <c r="Q15" s="234"/>
    </row>
    <row r="16" ht="25.5" customHeight="1">
      <c r="A16" s="234"/>
      <c r="B16" s="254"/>
      <c r="C16" s="234"/>
      <c r="D16" s="275" t="s">
        <v>158</v>
      </c>
      <c r="E16" s="234"/>
      <c r="F16" s="258" t="s">
        <v>172</v>
      </c>
      <c r="G16" s="234"/>
      <c r="H16" s="276" t="s">
        <v>179</v>
      </c>
      <c r="I16" s="276" t="s">
        <v>187</v>
      </c>
      <c r="J16" s="276" t="s">
        <v>193</v>
      </c>
      <c r="K16" s="254"/>
      <c r="L16" s="254"/>
      <c r="M16" s="234"/>
      <c r="N16" s="246"/>
      <c r="O16" s="247"/>
      <c r="P16" s="234"/>
      <c r="Q16" s="234"/>
    </row>
    <row r="17" ht="27.0" customHeight="1">
      <c r="A17" s="234"/>
      <c r="B17" s="254"/>
      <c r="C17" s="234"/>
      <c r="D17" s="278"/>
      <c r="E17" s="251"/>
      <c r="F17" s="278"/>
      <c r="G17" s="251"/>
      <c r="H17" s="254"/>
      <c r="I17" s="254"/>
      <c r="J17" s="254"/>
      <c r="K17" s="278"/>
      <c r="L17" s="254"/>
      <c r="M17" s="234"/>
      <c r="N17" s="246"/>
      <c r="O17" s="247"/>
      <c r="P17" s="234"/>
      <c r="Q17" s="234"/>
    </row>
    <row r="18" ht="42.0" customHeight="1">
      <c r="A18" s="234"/>
      <c r="B18" s="254"/>
      <c r="C18" s="234"/>
      <c r="D18" s="253" t="s">
        <v>602</v>
      </c>
      <c r="E18" s="251"/>
      <c r="F18" s="253" t="s">
        <v>603</v>
      </c>
      <c r="G18" s="251"/>
      <c r="H18" s="269" t="s">
        <v>538</v>
      </c>
      <c r="I18" s="269" t="s">
        <v>539</v>
      </c>
      <c r="J18" s="270" t="s">
        <v>540</v>
      </c>
      <c r="K18" s="269" t="s">
        <v>541</v>
      </c>
      <c r="L18" s="254"/>
      <c r="M18" s="234"/>
      <c r="N18" s="246">
        <f>COUNTA(D18:K18)</f>
        <v>6</v>
      </c>
      <c r="O18" s="247">
        <f>COUNTA(D19:K19)</f>
        <v>6</v>
      </c>
      <c r="P18" s="234"/>
      <c r="Q18" s="234"/>
    </row>
    <row r="19" ht="25.5" customHeight="1">
      <c r="A19" s="234"/>
      <c r="B19" s="254"/>
      <c r="C19" s="234"/>
      <c r="D19" s="257" t="s">
        <v>207</v>
      </c>
      <c r="E19" s="234"/>
      <c r="F19" s="258" t="s">
        <v>536</v>
      </c>
      <c r="G19" s="234"/>
      <c r="H19" s="276" t="s">
        <v>209</v>
      </c>
      <c r="I19" s="276" t="s">
        <v>212</v>
      </c>
      <c r="J19" s="279" t="s">
        <v>214</v>
      </c>
      <c r="K19" s="276" t="s">
        <v>217</v>
      </c>
      <c r="L19" s="254"/>
      <c r="M19" s="234"/>
      <c r="N19" s="246"/>
      <c r="O19" s="247"/>
      <c r="P19" s="234"/>
      <c r="Q19" s="234"/>
    </row>
    <row r="20" ht="27.75" customHeight="1">
      <c r="A20" s="234"/>
      <c r="B20" s="254"/>
      <c r="C20" s="234"/>
      <c r="D20" s="254"/>
      <c r="E20" s="234"/>
      <c r="F20" s="254"/>
      <c r="G20" s="234"/>
      <c r="H20" s="254"/>
      <c r="I20" s="254"/>
      <c r="J20" s="254"/>
      <c r="K20" s="280"/>
      <c r="L20" s="254"/>
      <c r="M20" s="234"/>
      <c r="N20" s="246"/>
      <c r="O20" s="247"/>
      <c r="P20" s="234"/>
      <c r="Q20" s="234"/>
    </row>
    <row r="21" ht="42.0" customHeight="1">
      <c r="A21" s="234"/>
      <c r="B21" s="254"/>
      <c r="C21" s="234"/>
      <c r="E21" s="234"/>
      <c r="F21" s="253" t="s">
        <v>603</v>
      </c>
      <c r="G21" s="234"/>
      <c r="H21" s="269" t="s">
        <v>544</v>
      </c>
      <c r="I21" s="269" t="s">
        <v>545</v>
      </c>
      <c r="J21" s="269" t="s">
        <v>546</v>
      </c>
      <c r="K21" s="254"/>
      <c r="L21" s="254"/>
      <c r="M21" s="234"/>
      <c r="N21" s="246">
        <f>COUNTA(F21:J21)</f>
        <v>4</v>
      </c>
      <c r="O21" s="247">
        <f>COUNTA(F22:J22)</f>
        <v>4</v>
      </c>
      <c r="P21" s="234"/>
      <c r="Q21" s="234"/>
    </row>
    <row r="22" ht="25.5" customHeight="1">
      <c r="A22" s="234"/>
      <c r="B22" s="254"/>
      <c r="C22" s="234"/>
      <c r="E22" s="234"/>
      <c r="F22" s="258" t="s">
        <v>542</v>
      </c>
      <c r="G22" s="234"/>
      <c r="H22" s="276" t="s">
        <v>218</v>
      </c>
      <c r="I22" s="276" t="s">
        <v>221</v>
      </c>
      <c r="J22" s="276" t="s">
        <v>223</v>
      </c>
      <c r="K22" s="228" t="s">
        <v>206</v>
      </c>
      <c r="L22" s="254"/>
      <c r="M22" s="234"/>
      <c r="N22" s="246"/>
      <c r="O22" s="247"/>
      <c r="P22" s="234"/>
      <c r="Q22" s="234"/>
    </row>
    <row r="23" ht="27.75" customHeight="1">
      <c r="A23" s="234"/>
      <c r="B23" s="254"/>
      <c r="C23" s="234"/>
      <c r="D23" s="254"/>
      <c r="E23" s="234"/>
      <c r="F23" s="254"/>
      <c r="G23" s="234"/>
      <c r="H23" s="254"/>
      <c r="I23" s="254"/>
      <c r="J23" s="254"/>
      <c r="K23" s="254"/>
      <c r="L23" s="254"/>
      <c r="M23" s="234"/>
      <c r="N23" s="246"/>
      <c r="O23" s="247"/>
      <c r="P23" s="234"/>
      <c r="Q23" s="234"/>
    </row>
    <row r="24" ht="42.0" customHeight="1">
      <c r="A24" s="234"/>
      <c r="B24" s="254"/>
      <c r="C24" s="234"/>
      <c r="D24" s="253" t="s">
        <v>604</v>
      </c>
      <c r="E24" s="234"/>
      <c r="F24" s="253" t="s">
        <v>605</v>
      </c>
      <c r="G24" s="234"/>
      <c r="H24" s="252" t="s">
        <v>606</v>
      </c>
      <c r="I24" s="252" t="s">
        <v>607</v>
      </c>
      <c r="J24" s="252" t="s">
        <v>608</v>
      </c>
      <c r="K24" s="252" t="s">
        <v>503</v>
      </c>
      <c r="M24" s="234"/>
      <c r="N24" s="246">
        <f>COUNTA(D24:K24)</f>
        <v>6</v>
      </c>
      <c r="O24" s="247">
        <f>COUNTA(D25:K25)</f>
        <v>3</v>
      </c>
      <c r="P24" s="234"/>
      <c r="Q24" s="234"/>
    </row>
    <row r="25" ht="28.5" customHeight="1">
      <c r="A25" s="234"/>
      <c r="B25" s="254"/>
      <c r="C25" s="234"/>
      <c r="D25" s="257" t="s">
        <v>170</v>
      </c>
      <c r="E25" s="234"/>
      <c r="F25" s="258" t="s">
        <v>173</v>
      </c>
      <c r="G25" s="234"/>
      <c r="H25" s="282" t="s">
        <v>175</v>
      </c>
      <c r="I25" s="259"/>
      <c r="J25" s="282"/>
      <c r="K25" s="282"/>
      <c r="L25" s="254"/>
      <c r="M25" s="234"/>
      <c r="N25" s="246"/>
      <c r="O25" s="247"/>
      <c r="P25" s="234"/>
      <c r="Q25" s="234"/>
    </row>
    <row r="26" ht="27.75" customHeight="1">
      <c r="A26" s="234"/>
      <c r="B26" s="254"/>
      <c r="C26" s="234"/>
      <c r="D26" s="254"/>
      <c r="E26" s="234"/>
      <c r="F26" s="254"/>
      <c r="G26" s="234"/>
      <c r="H26" s="254"/>
      <c r="I26" s="254"/>
      <c r="J26" s="254"/>
      <c r="K26" s="254"/>
      <c r="L26" s="254"/>
      <c r="M26" s="234"/>
      <c r="N26" s="246"/>
      <c r="O26" s="247"/>
      <c r="P26" s="234"/>
      <c r="Q26" s="234"/>
    </row>
    <row r="27" ht="42.0" customHeight="1">
      <c r="A27" s="234"/>
      <c r="B27" s="254"/>
      <c r="C27" s="234"/>
      <c r="D27" s="269" t="s">
        <v>609</v>
      </c>
      <c r="E27" s="283"/>
      <c r="F27" s="269" t="s">
        <v>610</v>
      </c>
      <c r="G27" s="283"/>
      <c r="H27" s="269" t="s">
        <v>564</v>
      </c>
      <c r="I27" s="269" t="s">
        <v>568</v>
      </c>
      <c r="J27" s="253" t="s">
        <v>611</v>
      </c>
      <c r="M27" s="234"/>
      <c r="N27" s="246">
        <f>COUNTA(D27:J27)</f>
        <v>5</v>
      </c>
      <c r="O27" s="247">
        <f>COUNTA(D28:J28)</f>
        <v>5</v>
      </c>
      <c r="P27" s="234"/>
      <c r="Q27" s="234"/>
    </row>
    <row r="28" ht="25.5" customHeight="1">
      <c r="A28" s="234"/>
      <c r="B28" s="254"/>
      <c r="C28" s="234"/>
      <c r="D28" s="275" t="s">
        <v>239</v>
      </c>
      <c r="E28" s="285"/>
      <c r="F28" s="286" t="s">
        <v>554</v>
      </c>
      <c r="G28" s="285"/>
      <c r="H28" s="276" t="s">
        <v>561</v>
      </c>
      <c r="I28" s="276" t="s">
        <v>243</v>
      </c>
      <c r="J28" s="276" t="s">
        <v>21</v>
      </c>
      <c r="M28" s="234"/>
      <c r="N28" s="246"/>
      <c r="O28" s="247"/>
      <c r="P28" s="234"/>
      <c r="Q28" s="234"/>
    </row>
    <row r="29" ht="27.0" customHeight="1">
      <c r="A29" s="234"/>
      <c r="B29" s="254"/>
      <c r="C29" s="234"/>
      <c r="D29" s="254"/>
      <c r="E29" s="234"/>
      <c r="F29" s="254"/>
      <c r="G29" s="234"/>
      <c r="H29" s="254"/>
      <c r="I29" s="254"/>
      <c r="J29" s="254"/>
      <c r="M29" s="234"/>
      <c r="N29" s="246"/>
      <c r="O29" s="247"/>
      <c r="P29" s="234"/>
      <c r="Q29" s="234"/>
    </row>
    <row r="30" ht="42.0" customHeight="1">
      <c r="A30" s="234"/>
      <c r="B30" s="254"/>
      <c r="C30" s="234"/>
      <c r="D30" s="278"/>
      <c r="E30" s="251"/>
      <c r="F30" s="269" t="s">
        <v>612</v>
      </c>
      <c r="G30" s="251"/>
      <c r="H30" s="269" t="s">
        <v>613</v>
      </c>
      <c r="I30" s="269" t="s">
        <v>614</v>
      </c>
      <c r="J30" s="269" t="s">
        <v>572</v>
      </c>
      <c r="K30" s="278"/>
      <c r="L30" s="254"/>
      <c r="M30" s="234"/>
      <c r="N30" s="246">
        <f>COUNTA(F30:J30)</f>
        <v>4</v>
      </c>
      <c r="O30" s="247">
        <f>COUNTA(F31:J31)</f>
        <v>2</v>
      </c>
      <c r="P30" s="234"/>
      <c r="Q30" s="234"/>
    </row>
    <row r="31" ht="25.5" customHeight="1">
      <c r="A31" s="234"/>
      <c r="B31" s="254"/>
      <c r="C31" s="234"/>
      <c r="D31" s="278"/>
      <c r="E31" s="251"/>
      <c r="F31" s="286" t="s">
        <v>242</v>
      </c>
      <c r="G31" s="251"/>
      <c r="H31" s="276"/>
      <c r="I31" s="276"/>
      <c r="J31" s="276" t="s">
        <v>245</v>
      </c>
      <c r="K31" s="278"/>
      <c r="L31" s="254"/>
      <c r="M31" s="234"/>
      <c r="N31" s="246"/>
      <c r="O31" s="247"/>
      <c r="P31" s="234"/>
      <c r="Q31" s="234"/>
    </row>
    <row r="32" ht="25.5" customHeight="1">
      <c r="A32" s="234"/>
      <c r="B32" s="254"/>
      <c r="C32" s="234"/>
      <c r="E32" s="234"/>
      <c r="F32" s="254"/>
      <c r="G32" s="234"/>
      <c r="H32" s="254"/>
      <c r="I32" s="254"/>
      <c r="J32" s="254"/>
      <c r="K32" s="254"/>
      <c r="L32" s="254"/>
      <c r="M32" s="234"/>
      <c r="N32" s="246"/>
      <c r="O32" s="247"/>
      <c r="P32" s="234"/>
      <c r="Q32" s="234"/>
    </row>
    <row r="33" ht="25.5" customHeight="1">
      <c r="A33" s="234"/>
      <c r="B33" s="254"/>
      <c r="C33" s="234"/>
      <c r="D33" s="254"/>
      <c r="E33" s="234"/>
      <c r="F33" s="254"/>
      <c r="G33" s="234"/>
      <c r="H33" s="254"/>
      <c r="I33" s="254"/>
      <c r="J33" s="254"/>
      <c r="K33" s="254"/>
      <c r="L33" s="254"/>
      <c r="M33" s="234"/>
      <c r="N33" s="290">
        <f t="shared" ref="N33:O33" si="1">SUM(N1:N32)</f>
        <v>53</v>
      </c>
      <c r="O33" s="291">
        <f t="shared" si="1"/>
        <v>46</v>
      </c>
      <c r="P33" s="292">
        <f>O33/N33</f>
        <v>0.8679245283</v>
      </c>
      <c r="Q33" s="234"/>
    </row>
    <row r="34" ht="25.5" customHeight="1">
      <c r="A34" s="234"/>
      <c r="B34" s="254"/>
      <c r="C34" s="234"/>
      <c r="D34" s="254"/>
      <c r="E34" s="234"/>
      <c r="F34" s="254"/>
      <c r="G34" s="234"/>
      <c r="H34" s="254"/>
      <c r="I34" s="254"/>
      <c r="J34" s="254"/>
      <c r="K34" s="254"/>
      <c r="L34" s="254"/>
      <c r="M34" s="234"/>
      <c r="N34" s="246"/>
      <c r="O34" s="247"/>
      <c r="P34" s="234"/>
      <c r="Q34" s="234"/>
    </row>
    <row r="35" ht="25.5" customHeight="1">
      <c r="A35" s="234"/>
      <c r="B35" s="254"/>
      <c r="C35" s="234"/>
      <c r="D35" s="254"/>
      <c r="E35" s="234"/>
      <c r="F35" s="254"/>
      <c r="G35" s="234"/>
      <c r="H35" s="254"/>
      <c r="I35" s="254"/>
      <c r="J35" s="254"/>
      <c r="K35" s="254"/>
      <c r="L35" s="254"/>
      <c r="M35" s="234"/>
      <c r="N35" s="246"/>
      <c r="O35" s="247"/>
      <c r="P35" s="234"/>
      <c r="Q35" s="234"/>
    </row>
    <row r="36" ht="25.5" customHeight="1">
      <c r="A36" s="234"/>
      <c r="B36" s="254"/>
      <c r="C36" s="234"/>
      <c r="D36" s="254"/>
      <c r="E36" s="234"/>
      <c r="F36" s="254"/>
      <c r="G36" s="234"/>
      <c r="H36" s="254"/>
      <c r="I36" s="254"/>
      <c r="J36" s="254"/>
      <c r="K36" s="254"/>
      <c r="L36" s="254"/>
      <c r="M36" s="234"/>
      <c r="N36" s="246"/>
      <c r="O36" s="247"/>
      <c r="P36" s="234"/>
      <c r="Q36" s="234"/>
    </row>
    <row r="37" ht="25.5" customHeight="1">
      <c r="A37" s="234"/>
      <c r="B37" s="254"/>
      <c r="C37" s="234"/>
      <c r="D37" s="254"/>
      <c r="E37" s="234"/>
      <c r="F37" s="254"/>
      <c r="G37" s="234"/>
      <c r="H37" s="254"/>
      <c r="I37" s="254"/>
      <c r="J37" s="254"/>
      <c r="K37" s="254"/>
      <c r="L37" s="254"/>
      <c r="M37" s="234"/>
      <c r="N37" s="246"/>
      <c r="O37" s="247"/>
      <c r="P37" s="234"/>
      <c r="Q37" s="234"/>
    </row>
    <row r="38" ht="27.0" customHeight="1">
      <c r="A38" s="234"/>
      <c r="B38" s="254"/>
      <c r="C38" s="234"/>
      <c r="D38" s="254"/>
      <c r="E38" s="234"/>
      <c r="F38" s="254"/>
      <c r="G38" s="234"/>
      <c r="H38" s="254"/>
      <c r="I38" s="254"/>
      <c r="J38" s="254"/>
      <c r="K38" s="254"/>
      <c r="L38" s="254"/>
      <c r="M38" s="234"/>
      <c r="N38" s="246"/>
      <c r="O38" s="247"/>
      <c r="P38" s="234"/>
      <c r="Q38" s="234"/>
    </row>
    <row r="39" ht="27.0" customHeight="1">
      <c r="A39" s="234"/>
      <c r="B39" s="254"/>
      <c r="C39" s="234"/>
      <c r="D39" s="254"/>
      <c r="E39" s="234"/>
      <c r="F39" s="254"/>
      <c r="G39" s="234"/>
      <c r="H39" s="254"/>
      <c r="I39" s="254"/>
      <c r="J39" s="254"/>
      <c r="K39" s="254"/>
      <c r="L39" s="254"/>
      <c r="M39" s="234"/>
      <c r="N39" s="246"/>
      <c r="O39" s="247"/>
      <c r="P39" s="234"/>
      <c r="Q39" s="234"/>
    </row>
    <row r="40" ht="27.0" customHeight="1">
      <c r="A40" s="234"/>
      <c r="B40" s="254"/>
      <c r="C40" s="234"/>
      <c r="D40" s="254"/>
      <c r="E40" s="234"/>
      <c r="F40" s="254"/>
      <c r="G40" s="234"/>
      <c r="H40" s="254"/>
      <c r="I40" s="254"/>
      <c r="J40" s="254"/>
      <c r="K40" s="254"/>
      <c r="L40" s="254"/>
      <c r="M40" s="234"/>
      <c r="N40" s="246"/>
      <c r="O40" s="247"/>
      <c r="P40" s="234"/>
      <c r="Q40" s="234"/>
    </row>
    <row r="41" ht="27.0" customHeight="1">
      <c r="A41" s="234"/>
      <c r="B41" s="254"/>
      <c r="C41" s="234"/>
      <c r="D41" s="254"/>
      <c r="E41" s="234"/>
      <c r="F41" s="254"/>
      <c r="G41" s="234"/>
      <c r="H41" s="254"/>
      <c r="I41" s="254"/>
      <c r="J41" s="254"/>
      <c r="K41" s="254"/>
      <c r="L41" s="254"/>
      <c r="M41" s="234"/>
      <c r="N41" s="246"/>
      <c r="O41" s="247"/>
      <c r="P41" s="234"/>
      <c r="Q41" s="234"/>
    </row>
    <row r="42" ht="27.0" customHeight="1">
      <c r="A42" s="234"/>
      <c r="B42" s="254"/>
      <c r="C42" s="234"/>
      <c r="D42" s="254"/>
      <c r="E42" s="234"/>
      <c r="F42" s="254"/>
      <c r="G42" s="234"/>
      <c r="H42" s="254"/>
      <c r="I42" s="254"/>
      <c r="J42" s="254"/>
      <c r="K42" s="254"/>
      <c r="L42" s="254"/>
      <c r="M42" s="234"/>
      <c r="N42" s="246"/>
      <c r="O42" s="247"/>
      <c r="P42" s="234"/>
      <c r="Q42" s="234"/>
    </row>
    <row r="43" ht="27.0" customHeight="1">
      <c r="A43" s="234"/>
      <c r="B43" s="254"/>
      <c r="C43" s="234"/>
      <c r="D43" s="254"/>
      <c r="E43" s="234"/>
      <c r="F43" s="254"/>
      <c r="G43" s="234"/>
      <c r="H43" s="254"/>
      <c r="I43" s="254"/>
      <c r="J43" s="254"/>
      <c r="K43" s="254"/>
      <c r="L43" s="254"/>
      <c r="M43" s="234"/>
      <c r="N43" s="246"/>
      <c r="O43" s="247"/>
      <c r="P43" s="234"/>
      <c r="Q43" s="234"/>
    </row>
    <row r="44" ht="27.0" customHeight="1">
      <c r="A44" s="234"/>
      <c r="B44" s="254"/>
      <c r="C44" s="234"/>
      <c r="D44" s="254"/>
      <c r="E44" s="234"/>
      <c r="F44" s="254"/>
      <c r="G44" s="234"/>
      <c r="H44" s="254"/>
      <c r="I44" s="254"/>
      <c r="J44" s="254"/>
      <c r="K44" s="254"/>
      <c r="L44" s="254"/>
      <c r="M44" s="234"/>
      <c r="N44" s="246"/>
      <c r="O44" s="247"/>
      <c r="P44" s="234"/>
      <c r="Q44" s="234"/>
    </row>
    <row r="45" ht="27.0" customHeight="1">
      <c r="A45" s="234"/>
      <c r="B45" s="254"/>
      <c r="C45" s="234"/>
      <c r="D45" s="254"/>
      <c r="E45" s="234"/>
      <c r="F45" s="254"/>
      <c r="G45" s="234"/>
      <c r="H45" s="254"/>
      <c r="I45" s="254"/>
      <c r="J45" s="254"/>
      <c r="K45" s="254"/>
      <c r="L45" s="254"/>
      <c r="M45" s="234"/>
      <c r="N45" s="246"/>
      <c r="O45" s="247"/>
      <c r="P45" s="234"/>
      <c r="Q45" s="234"/>
    </row>
    <row r="46" ht="21.0" customHeight="1">
      <c r="A46" s="234"/>
      <c r="B46" s="254"/>
      <c r="C46" s="234"/>
      <c r="D46" s="254"/>
      <c r="E46" s="234"/>
      <c r="F46" s="254"/>
      <c r="G46" s="234"/>
      <c r="H46" s="254"/>
      <c r="I46" s="254"/>
      <c r="J46" s="254"/>
      <c r="K46" s="254"/>
      <c r="L46" s="254"/>
      <c r="M46" s="234"/>
      <c r="N46" s="246"/>
      <c r="O46" s="247"/>
      <c r="P46" s="234"/>
      <c r="Q46" s="234"/>
    </row>
    <row r="47" ht="21.0" customHeight="1">
      <c r="A47" s="234"/>
      <c r="B47" s="254"/>
      <c r="C47" s="234"/>
      <c r="D47" s="254"/>
      <c r="E47" s="234"/>
      <c r="F47" s="254"/>
      <c r="G47" s="234"/>
      <c r="H47" s="254"/>
      <c r="I47" s="254"/>
      <c r="J47" s="254"/>
      <c r="K47" s="254"/>
      <c r="L47" s="254"/>
      <c r="M47" s="234"/>
      <c r="N47" s="246"/>
      <c r="O47" s="247"/>
      <c r="P47" s="234"/>
      <c r="Q47" s="234"/>
    </row>
    <row r="48" ht="21.0" customHeight="1">
      <c r="A48" s="234"/>
      <c r="B48" s="254"/>
      <c r="C48" s="234"/>
      <c r="D48" s="254"/>
      <c r="E48" s="234"/>
      <c r="F48" s="254"/>
      <c r="G48" s="234"/>
      <c r="H48" s="254"/>
      <c r="I48" s="254"/>
      <c r="J48" s="254"/>
      <c r="K48" s="254"/>
      <c r="L48" s="254"/>
      <c r="M48" s="234"/>
      <c r="N48" s="246"/>
      <c r="O48" s="247"/>
      <c r="P48" s="234"/>
      <c r="Q48" s="234"/>
    </row>
    <row r="49" ht="21.0" customHeight="1">
      <c r="A49" s="234"/>
      <c r="B49" s="254"/>
      <c r="C49" s="234"/>
      <c r="D49" s="254"/>
      <c r="E49" s="234"/>
      <c r="F49" s="254"/>
      <c r="G49" s="234"/>
      <c r="H49" s="254"/>
      <c r="I49" s="254"/>
      <c r="J49" s="254"/>
      <c r="K49" s="254"/>
      <c r="L49" s="254"/>
      <c r="M49" s="234"/>
      <c r="N49" s="246"/>
      <c r="O49" s="247"/>
      <c r="P49" s="234"/>
      <c r="Q49" s="234"/>
    </row>
    <row r="50" ht="21.0" customHeight="1">
      <c r="A50" s="234"/>
      <c r="B50" s="254"/>
      <c r="C50" s="234"/>
      <c r="D50" s="254"/>
      <c r="E50" s="234"/>
      <c r="F50" s="254"/>
      <c r="G50" s="234"/>
      <c r="H50" s="254"/>
      <c r="I50" s="254"/>
      <c r="J50" s="254"/>
      <c r="K50" s="254"/>
      <c r="L50" s="254"/>
      <c r="M50" s="234"/>
      <c r="N50" s="246"/>
      <c r="O50" s="247"/>
      <c r="P50" s="234"/>
      <c r="Q50" s="234"/>
    </row>
    <row r="51" ht="21.0" customHeight="1">
      <c r="A51" s="234"/>
      <c r="B51" s="254"/>
      <c r="C51" s="234"/>
      <c r="D51" s="254"/>
      <c r="E51" s="234"/>
      <c r="F51" s="254"/>
      <c r="G51" s="234"/>
      <c r="H51" s="254"/>
      <c r="I51" s="254"/>
      <c r="J51" s="254"/>
      <c r="K51" s="254"/>
      <c r="L51" s="254"/>
      <c r="M51" s="234"/>
      <c r="N51" s="246"/>
      <c r="O51" s="247"/>
      <c r="P51" s="234"/>
      <c r="Q51" s="234"/>
    </row>
    <row r="52" ht="21.0" customHeight="1">
      <c r="A52" s="234"/>
      <c r="B52" s="254"/>
      <c r="C52" s="234"/>
      <c r="D52" s="254"/>
      <c r="E52" s="234"/>
      <c r="F52" s="254"/>
      <c r="G52" s="234"/>
      <c r="H52" s="254"/>
      <c r="I52" s="254"/>
      <c r="J52" s="254"/>
      <c r="K52" s="254"/>
      <c r="L52" s="254"/>
      <c r="M52" s="234"/>
      <c r="N52" s="246"/>
      <c r="O52" s="247"/>
      <c r="P52" s="234"/>
      <c r="Q52" s="234"/>
    </row>
    <row r="53" ht="21.0" customHeight="1">
      <c r="A53" s="234"/>
      <c r="B53" s="254"/>
      <c r="C53" s="234"/>
      <c r="D53" s="254"/>
      <c r="E53" s="234"/>
      <c r="F53" s="254"/>
      <c r="G53" s="234"/>
      <c r="H53" s="254"/>
      <c r="I53" s="254"/>
      <c r="J53" s="254"/>
      <c r="K53" s="254"/>
      <c r="L53" s="254"/>
      <c r="M53" s="234"/>
      <c r="N53" s="246"/>
      <c r="O53" s="247"/>
      <c r="P53" s="234"/>
      <c r="Q53" s="234"/>
    </row>
    <row r="54" ht="21.0" customHeight="1">
      <c r="A54" s="234"/>
      <c r="B54" s="254"/>
      <c r="C54" s="234"/>
      <c r="D54" s="254"/>
      <c r="E54" s="234"/>
      <c r="F54" s="254"/>
      <c r="G54" s="234"/>
      <c r="H54" s="254"/>
      <c r="I54" s="254"/>
      <c r="J54" s="254"/>
      <c r="K54" s="254"/>
      <c r="L54" s="254"/>
      <c r="M54" s="234"/>
      <c r="N54" s="246"/>
      <c r="O54" s="247"/>
      <c r="P54" s="234"/>
      <c r="Q54" s="234"/>
    </row>
    <row r="55" ht="21.0" customHeight="1">
      <c r="A55" s="234"/>
      <c r="B55" s="254"/>
      <c r="C55" s="234"/>
      <c r="D55" s="254"/>
      <c r="E55" s="234"/>
      <c r="F55" s="254"/>
      <c r="G55" s="234"/>
      <c r="H55" s="254"/>
      <c r="I55" s="254"/>
      <c r="J55" s="254"/>
      <c r="K55" s="254"/>
      <c r="L55" s="254"/>
      <c r="M55" s="234"/>
      <c r="N55" s="246"/>
      <c r="O55" s="247"/>
      <c r="P55" s="234"/>
      <c r="Q55" s="234"/>
    </row>
    <row r="56" ht="21.0" customHeight="1">
      <c r="A56" s="234"/>
      <c r="B56" s="254"/>
      <c r="C56" s="234"/>
      <c r="D56" s="254"/>
      <c r="E56" s="234"/>
      <c r="F56" s="254"/>
      <c r="G56" s="234"/>
      <c r="H56" s="254"/>
      <c r="I56" s="254"/>
      <c r="J56" s="254"/>
      <c r="K56" s="254"/>
      <c r="L56" s="254"/>
      <c r="M56" s="234"/>
      <c r="N56" s="246"/>
      <c r="O56" s="247"/>
      <c r="P56" s="234"/>
      <c r="Q56" s="234"/>
    </row>
    <row r="57" ht="21.0" customHeight="1">
      <c r="A57" s="234"/>
      <c r="B57" s="254"/>
      <c r="C57" s="234"/>
      <c r="D57" s="254"/>
      <c r="E57" s="234"/>
      <c r="F57" s="254"/>
      <c r="G57" s="234"/>
      <c r="H57" s="254"/>
      <c r="I57" s="254"/>
      <c r="J57" s="254"/>
      <c r="K57" s="254"/>
      <c r="L57" s="254"/>
      <c r="M57" s="234"/>
      <c r="N57" s="246"/>
      <c r="O57" s="247"/>
      <c r="P57" s="234"/>
      <c r="Q57" s="234"/>
    </row>
    <row r="58" ht="21.0" customHeight="1">
      <c r="A58" s="234"/>
      <c r="B58" s="254"/>
      <c r="C58" s="234"/>
      <c r="D58" s="254"/>
      <c r="E58" s="234"/>
      <c r="F58" s="254"/>
      <c r="G58" s="234"/>
      <c r="H58" s="254"/>
      <c r="I58" s="254"/>
      <c r="J58" s="254"/>
      <c r="K58" s="254"/>
      <c r="L58" s="254"/>
      <c r="M58" s="234"/>
      <c r="N58" s="246"/>
      <c r="O58" s="247"/>
      <c r="P58" s="234"/>
      <c r="Q58" s="234"/>
    </row>
    <row r="59" ht="21.0" customHeight="1">
      <c r="A59" s="234"/>
      <c r="B59" s="254"/>
      <c r="C59" s="234"/>
      <c r="D59" s="254"/>
      <c r="E59" s="234"/>
      <c r="F59" s="254"/>
      <c r="G59" s="234"/>
      <c r="H59" s="254"/>
      <c r="I59" s="254"/>
      <c r="J59" s="254"/>
      <c r="K59" s="254"/>
      <c r="L59" s="254"/>
      <c r="M59" s="234"/>
      <c r="N59" s="246"/>
      <c r="O59" s="247"/>
      <c r="P59" s="234"/>
      <c r="Q59" s="234"/>
    </row>
    <row r="60" ht="21.0" customHeight="1">
      <c r="A60" s="234"/>
      <c r="B60" s="254"/>
      <c r="C60" s="234"/>
      <c r="D60" s="254"/>
      <c r="E60" s="234"/>
      <c r="F60" s="254"/>
      <c r="G60" s="234"/>
      <c r="H60" s="254"/>
      <c r="I60" s="254"/>
      <c r="J60" s="254"/>
      <c r="K60" s="254"/>
      <c r="L60" s="254"/>
      <c r="M60" s="234"/>
      <c r="N60" s="246"/>
      <c r="O60" s="247"/>
      <c r="P60" s="234"/>
      <c r="Q60" s="234"/>
    </row>
    <row r="61" ht="21.0" customHeight="1">
      <c r="A61" s="234"/>
      <c r="B61" s="254"/>
      <c r="C61" s="234"/>
      <c r="D61" s="254"/>
      <c r="E61" s="234"/>
      <c r="F61" s="254"/>
      <c r="G61" s="234"/>
      <c r="H61" s="254"/>
      <c r="I61" s="254"/>
      <c r="J61" s="254"/>
      <c r="K61" s="254"/>
      <c r="L61" s="254"/>
      <c r="M61" s="234"/>
      <c r="N61" s="246"/>
      <c r="O61" s="247"/>
      <c r="P61" s="234"/>
      <c r="Q61" s="234"/>
    </row>
    <row r="62" ht="21.0" customHeight="1">
      <c r="A62" s="234"/>
      <c r="B62" s="254"/>
      <c r="C62" s="234"/>
      <c r="D62" s="254"/>
      <c r="E62" s="234"/>
      <c r="F62" s="254"/>
      <c r="G62" s="234"/>
      <c r="H62" s="254"/>
      <c r="I62" s="254"/>
      <c r="J62" s="254"/>
      <c r="K62" s="254"/>
      <c r="L62" s="254"/>
      <c r="M62" s="234"/>
      <c r="N62" s="246"/>
      <c r="O62" s="247"/>
      <c r="P62" s="234"/>
      <c r="Q62" s="234"/>
    </row>
    <row r="63" ht="21.0" customHeight="1">
      <c r="A63" s="234"/>
      <c r="B63" s="254"/>
      <c r="C63" s="234"/>
      <c r="D63" s="254"/>
      <c r="E63" s="234"/>
      <c r="F63" s="254"/>
      <c r="G63" s="234"/>
      <c r="H63" s="254"/>
      <c r="I63" s="254"/>
      <c r="J63" s="254"/>
      <c r="K63" s="254"/>
      <c r="L63" s="254"/>
      <c r="M63" s="234"/>
      <c r="N63" s="246"/>
      <c r="O63" s="247"/>
      <c r="P63" s="234"/>
      <c r="Q63" s="234"/>
    </row>
    <row r="64" ht="21.0" customHeight="1">
      <c r="A64" s="234"/>
      <c r="B64" s="254"/>
      <c r="C64" s="234"/>
      <c r="D64" s="254"/>
      <c r="E64" s="234"/>
      <c r="F64" s="254"/>
      <c r="G64" s="234"/>
      <c r="H64" s="254"/>
      <c r="I64" s="254"/>
      <c r="J64" s="254"/>
      <c r="K64" s="254"/>
      <c r="L64" s="254"/>
      <c r="M64" s="234"/>
      <c r="N64" s="246"/>
      <c r="O64" s="247"/>
      <c r="P64" s="234"/>
      <c r="Q64" s="234"/>
    </row>
    <row r="65" ht="21.0" customHeight="1">
      <c r="A65" s="234"/>
      <c r="B65" s="254"/>
      <c r="C65" s="234"/>
      <c r="D65" s="254"/>
      <c r="E65" s="234"/>
      <c r="F65" s="254"/>
      <c r="G65" s="234"/>
      <c r="H65" s="254"/>
      <c r="I65" s="254"/>
      <c r="J65" s="254"/>
      <c r="K65" s="254"/>
      <c r="L65" s="254"/>
      <c r="M65" s="234"/>
      <c r="N65" s="246"/>
      <c r="O65" s="247"/>
      <c r="P65" s="234"/>
      <c r="Q65" s="234"/>
    </row>
    <row r="66" ht="21.0" customHeight="1">
      <c r="A66" s="234"/>
      <c r="B66" s="254"/>
      <c r="C66" s="234"/>
      <c r="D66" s="254"/>
      <c r="E66" s="234"/>
      <c r="F66" s="254"/>
      <c r="G66" s="234"/>
      <c r="H66" s="254"/>
      <c r="I66" s="254"/>
      <c r="J66" s="254"/>
      <c r="K66" s="254"/>
      <c r="L66" s="254"/>
      <c r="M66" s="234"/>
      <c r="N66" s="246"/>
      <c r="O66" s="247"/>
      <c r="P66" s="234"/>
      <c r="Q66" s="234"/>
    </row>
    <row r="67" ht="21.0" customHeight="1">
      <c r="A67" s="234"/>
      <c r="B67" s="254"/>
      <c r="C67" s="234"/>
      <c r="D67" s="254"/>
      <c r="E67" s="234"/>
      <c r="F67" s="254"/>
      <c r="G67" s="234"/>
      <c r="H67" s="254"/>
      <c r="I67" s="254"/>
      <c r="J67" s="254"/>
      <c r="K67" s="254"/>
      <c r="L67" s="254"/>
      <c r="M67" s="234"/>
      <c r="N67" s="246"/>
      <c r="O67" s="247"/>
      <c r="P67" s="234"/>
      <c r="Q67" s="234"/>
    </row>
    <row r="68" ht="21.0" customHeight="1">
      <c r="A68" s="234"/>
      <c r="B68" s="254"/>
      <c r="C68" s="234"/>
      <c r="D68" s="254"/>
      <c r="E68" s="234"/>
      <c r="F68" s="254"/>
      <c r="G68" s="234"/>
      <c r="H68" s="254"/>
      <c r="I68" s="254"/>
      <c r="J68" s="254"/>
      <c r="K68" s="254"/>
      <c r="L68" s="254"/>
      <c r="M68" s="234"/>
      <c r="N68" s="246"/>
      <c r="O68" s="247"/>
      <c r="P68" s="234"/>
      <c r="Q68" s="234"/>
    </row>
    <row r="69" ht="21.0" customHeight="1">
      <c r="A69" s="234"/>
      <c r="B69" s="254"/>
      <c r="C69" s="234"/>
      <c r="D69" s="254"/>
      <c r="E69" s="234"/>
      <c r="F69" s="254"/>
      <c r="G69" s="234"/>
      <c r="H69" s="254"/>
      <c r="I69" s="254"/>
      <c r="J69" s="254"/>
      <c r="K69" s="254"/>
      <c r="L69" s="254"/>
      <c r="M69" s="234"/>
      <c r="N69" s="246"/>
      <c r="O69" s="247"/>
      <c r="P69" s="234"/>
      <c r="Q69" s="234"/>
    </row>
    <row r="70" ht="21.0" customHeight="1">
      <c r="A70" s="234"/>
      <c r="B70" s="254"/>
      <c r="C70" s="234"/>
      <c r="D70" s="254"/>
      <c r="E70" s="234"/>
      <c r="F70" s="254"/>
      <c r="G70" s="234"/>
      <c r="H70" s="254"/>
      <c r="I70" s="254"/>
      <c r="J70" s="254"/>
      <c r="K70" s="254"/>
      <c r="L70" s="254"/>
      <c r="M70" s="234"/>
      <c r="N70" s="246"/>
      <c r="O70" s="247"/>
      <c r="P70" s="234"/>
      <c r="Q70" s="234"/>
    </row>
    <row r="71" ht="21.0" customHeight="1">
      <c r="A71" s="234"/>
      <c r="B71" s="254"/>
      <c r="C71" s="234"/>
      <c r="D71" s="254"/>
      <c r="E71" s="234"/>
      <c r="F71" s="254"/>
      <c r="G71" s="234"/>
      <c r="H71" s="254"/>
      <c r="I71" s="254"/>
      <c r="J71" s="254"/>
      <c r="K71" s="254"/>
      <c r="L71" s="254"/>
      <c r="M71" s="234"/>
      <c r="N71" s="246"/>
      <c r="O71" s="247"/>
      <c r="P71" s="234"/>
      <c r="Q71" s="234"/>
    </row>
    <row r="72" ht="21.0" customHeight="1">
      <c r="A72" s="234"/>
      <c r="B72" s="254"/>
      <c r="C72" s="234"/>
      <c r="D72" s="254"/>
      <c r="E72" s="234"/>
      <c r="F72" s="254"/>
      <c r="G72" s="234"/>
      <c r="H72" s="254"/>
      <c r="I72" s="254"/>
      <c r="J72" s="254"/>
      <c r="K72" s="254"/>
      <c r="L72" s="254"/>
      <c r="M72" s="234"/>
      <c r="N72" s="246"/>
      <c r="O72" s="247"/>
      <c r="P72" s="234"/>
      <c r="Q72" s="234"/>
    </row>
    <row r="73" ht="21.0" customHeight="1">
      <c r="A73" s="234"/>
      <c r="B73" s="254"/>
      <c r="C73" s="234"/>
      <c r="D73" s="254"/>
      <c r="E73" s="234"/>
      <c r="F73" s="254"/>
      <c r="G73" s="234"/>
      <c r="H73" s="254"/>
      <c r="I73" s="254"/>
      <c r="J73" s="254"/>
      <c r="K73" s="254"/>
      <c r="L73" s="254"/>
      <c r="M73" s="234"/>
      <c r="N73" s="246"/>
      <c r="O73" s="247"/>
      <c r="P73" s="234"/>
      <c r="Q73" s="234"/>
    </row>
    <row r="74" ht="21.0" customHeight="1">
      <c r="A74" s="234"/>
      <c r="B74" s="254"/>
      <c r="C74" s="234"/>
      <c r="D74" s="254"/>
      <c r="E74" s="234"/>
      <c r="F74" s="254"/>
      <c r="G74" s="234"/>
      <c r="H74" s="254"/>
      <c r="I74" s="254"/>
      <c r="J74" s="254"/>
      <c r="K74" s="254"/>
      <c r="L74" s="254"/>
      <c r="M74" s="234"/>
      <c r="N74" s="246"/>
      <c r="O74" s="247"/>
      <c r="P74" s="234"/>
      <c r="Q74" s="234"/>
    </row>
    <row r="75" ht="21.0" customHeight="1">
      <c r="A75" s="234"/>
      <c r="B75" s="254"/>
      <c r="C75" s="234"/>
      <c r="D75" s="254"/>
      <c r="E75" s="234"/>
      <c r="F75" s="254"/>
      <c r="G75" s="234"/>
      <c r="H75" s="254"/>
      <c r="I75" s="254"/>
      <c r="J75" s="254"/>
      <c r="K75" s="254"/>
      <c r="L75" s="254"/>
      <c r="M75" s="234"/>
      <c r="N75" s="246"/>
      <c r="O75" s="247"/>
      <c r="P75" s="234"/>
      <c r="Q75" s="234"/>
    </row>
    <row r="76" ht="21.0" customHeight="1">
      <c r="A76" s="234"/>
      <c r="B76" s="254"/>
      <c r="C76" s="234"/>
      <c r="D76" s="254"/>
      <c r="E76" s="234"/>
      <c r="F76" s="254"/>
      <c r="G76" s="234"/>
      <c r="H76" s="254"/>
      <c r="I76" s="254"/>
      <c r="J76" s="254"/>
      <c r="K76" s="254"/>
      <c r="L76" s="254"/>
      <c r="M76" s="234"/>
      <c r="N76" s="246"/>
      <c r="O76" s="247"/>
      <c r="P76" s="234"/>
      <c r="Q76" s="234"/>
    </row>
    <row r="77" ht="21.0" customHeight="1">
      <c r="A77" s="234"/>
      <c r="B77" s="254"/>
      <c r="C77" s="234"/>
      <c r="D77" s="254"/>
      <c r="E77" s="234"/>
      <c r="F77" s="254"/>
      <c r="G77" s="234"/>
      <c r="H77" s="254"/>
      <c r="I77" s="254"/>
      <c r="J77" s="254"/>
      <c r="K77" s="254"/>
      <c r="L77" s="254"/>
      <c r="M77" s="234"/>
      <c r="N77" s="246"/>
      <c r="O77" s="247"/>
      <c r="P77" s="234"/>
      <c r="Q77" s="234"/>
    </row>
    <row r="78" ht="21.0" customHeight="1">
      <c r="A78" s="234"/>
      <c r="B78" s="254"/>
      <c r="C78" s="234"/>
      <c r="D78" s="254"/>
      <c r="E78" s="234"/>
      <c r="F78" s="254"/>
      <c r="G78" s="234"/>
      <c r="H78" s="254"/>
      <c r="I78" s="254"/>
      <c r="J78" s="254"/>
      <c r="K78" s="254"/>
      <c r="L78" s="254"/>
      <c r="M78" s="234"/>
      <c r="N78" s="246"/>
      <c r="O78" s="247"/>
      <c r="P78" s="234"/>
      <c r="Q78" s="234"/>
    </row>
    <row r="79" ht="21.0" customHeight="1">
      <c r="A79" s="234"/>
      <c r="B79" s="254"/>
      <c r="C79" s="234"/>
      <c r="D79" s="254"/>
      <c r="E79" s="234"/>
      <c r="F79" s="254"/>
      <c r="G79" s="234"/>
      <c r="H79" s="254"/>
      <c r="I79" s="254"/>
      <c r="J79" s="254"/>
      <c r="K79" s="254"/>
      <c r="L79" s="254"/>
      <c r="M79" s="234"/>
      <c r="N79" s="246"/>
      <c r="O79" s="247"/>
      <c r="P79" s="234"/>
      <c r="Q79" s="234"/>
    </row>
    <row r="80" ht="21.0" customHeight="1">
      <c r="A80" s="234"/>
      <c r="B80" s="254"/>
      <c r="C80" s="234"/>
      <c r="D80" s="254"/>
      <c r="E80" s="234"/>
      <c r="F80" s="254"/>
      <c r="G80" s="234"/>
      <c r="H80" s="254"/>
      <c r="I80" s="254"/>
      <c r="J80" s="254"/>
      <c r="K80" s="254"/>
      <c r="L80" s="254"/>
      <c r="M80" s="234"/>
      <c r="N80" s="246"/>
      <c r="O80" s="247"/>
      <c r="P80" s="234"/>
      <c r="Q80" s="234"/>
    </row>
    <row r="81" ht="21.0" customHeight="1">
      <c r="A81" s="234"/>
      <c r="B81" s="254"/>
      <c r="C81" s="234"/>
      <c r="D81" s="254"/>
      <c r="E81" s="234"/>
      <c r="F81" s="254"/>
      <c r="G81" s="234"/>
      <c r="H81" s="254"/>
      <c r="I81" s="254"/>
      <c r="J81" s="254"/>
      <c r="K81" s="254"/>
      <c r="L81" s="254"/>
      <c r="M81" s="234"/>
      <c r="N81" s="246"/>
      <c r="O81" s="247"/>
      <c r="P81" s="234"/>
      <c r="Q81" s="234"/>
    </row>
    <row r="82" ht="21.0" customHeight="1">
      <c r="A82" s="234"/>
      <c r="B82" s="254"/>
      <c r="C82" s="234"/>
      <c r="D82" s="254"/>
      <c r="E82" s="234"/>
      <c r="F82" s="254"/>
      <c r="G82" s="234"/>
      <c r="H82" s="254"/>
      <c r="I82" s="254"/>
      <c r="J82" s="254"/>
      <c r="K82" s="254"/>
      <c r="L82" s="254"/>
      <c r="M82" s="234"/>
      <c r="N82" s="246"/>
      <c r="O82" s="247"/>
      <c r="P82" s="234"/>
      <c r="Q82" s="234"/>
    </row>
    <row r="83" ht="21.0" customHeight="1">
      <c r="A83" s="234"/>
      <c r="B83" s="254"/>
      <c r="C83" s="234"/>
      <c r="D83" s="254"/>
      <c r="E83" s="234"/>
      <c r="F83" s="254"/>
      <c r="G83" s="234"/>
      <c r="H83" s="254"/>
      <c r="I83" s="254"/>
      <c r="J83" s="254"/>
      <c r="K83" s="254"/>
      <c r="L83" s="254"/>
      <c r="M83" s="234"/>
      <c r="N83" s="246"/>
      <c r="O83" s="247"/>
      <c r="P83" s="234"/>
      <c r="Q83" s="234"/>
    </row>
    <row r="84" ht="21.0" customHeight="1">
      <c r="A84" s="234"/>
      <c r="B84" s="254"/>
      <c r="C84" s="234"/>
      <c r="D84" s="254"/>
      <c r="E84" s="234"/>
      <c r="F84" s="254"/>
      <c r="G84" s="234"/>
      <c r="H84" s="254"/>
      <c r="I84" s="254"/>
      <c r="J84" s="254"/>
      <c r="K84" s="254"/>
      <c r="L84" s="254"/>
      <c r="M84" s="234"/>
      <c r="N84" s="246"/>
      <c r="O84" s="247"/>
      <c r="P84" s="234"/>
      <c r="Q84" s="234"/>
    </row>
    <row r="85" ht="21.0" customHeight="1">
      <c r="A85" s="234"/>
      <c r="B85" s="254"/>
      <c r="C85" s="234"/>
      <c r="D85" s="254"/>
      <c r="E85" s="234"/>
      <c r="F85" s="254"/>
      <c r="G85" s="234"/>
      <c r="H85" s="254"/>
      <c r="I85" s="254"/>
      <c r="J85" s="254"/>
      <c r="K85" s="254"/>
      <c r="L85" s="254"/>
      <c r="M85" s="234"/>
      <c r="N85" s="246"/>
      <c r="O85" s="247"/>
      <c r="P85" s="234"/>
      <c r="Q85" s="234"/>
    </row>
    <row r="86" ht="21.0" customHeight="1">
      <c r="A86" s="234"/>
      <c r="B86" s="254"/>
      <c r="C86" s="234"/>
      <c r="D86" s="254"/>
      <c r="E86" s="234"/>
      <c r="F86" s="254"/>
      <c r="G86" s="234"/>
      <c r="H86" s="254"/>
      <c r="I86" s="254"/>
      <c r="J86" s="254"/>
      <c r="K86" s="254"/>
      <c r="L86" s="254"/>
      <c r="M86" s="234"/>
      <c r="N86" s="246"/>
      <c r="O86" s="247"/>
      <c r="P86" s="234"/>
      <c r="Q86" s="234"/>
    </row>
    <row r="87" ht="15.75" customHeight="1">
      <c r="B87" s="293"/>
      <c r="D87" s="293"/>
      <c r="F87" s="293"/>
      <c r="H87" s="293"/>
      <c r="I87" s="293"/>
      <c r="J87" s="293"/>
      <c r="K87" s="293"/>
      <c r="L87" s="293"/>
      <c r="N87" s="294"/>
      <c r="O87" s="295"/>
    </row>
    <row r="88" ht="15.75" customHeight="1">
      <c r="B88" s="293"/>
      <c r="D88" s="293"/>
      <c r="F88" s="293"/>
      <c r="H88" s="293"/>
      <c r="I88" s="293"/>
      <c r="J88" s="293"/>
      <c r="K88" s="293"/>
      <c r="L88" s="293"/>
      <c r="N88" s="294"/>
      <c r="O88" s="295"/>
    </row>
    <row r="89" ht="15.75" customHeight="1">
      <c r="B89" s="293"/>
      <c r="D89" s="293"/>
      <c r="F89" s="293"/>
      <c r="H89" s="293"/>
      <c r="I89" s="293"/>
      <c r="J89" s="293"/>
      <c r="K89" s="293"/>
      <c r="L89" s="293"/>
      <c r="N89" s="294"/>
      <c r="O89" s="295"/>
    </row>
    <row r="90" ht="15.75" customHeight="1">
      <c r="B90" s="293"/>
      <c r="D90" s="293"/>
      <c r="F90" s="293"/>
      <c r="H90" s="293"/>
      <c r="I90" s="293"/>
      <c r="J90" s="293"/>
      <c r="K90" s="293"/>
      <c r="L90" s="293"/>
      <c r="N90" s="294"/>
      <c r="O90" s="295"/>
    </row>
    <row r="91" ht="15.75" customHeight="1">
      <c r="B91" s="293"/>
      <c r="D91" s="293"/>
      <c r="F91" s="293"/>
      <c r="H91" s="293"/>
      <c r="I91" s="293"/>
      <c r="J91" s="293"/>
      <c r="K91" s="293"/>
      <c r="L91" s="293"/>
      <c r="N91" s="294"/>
      <c r="O91" s="295"/>
    </row>
    <row r="92" ht="15.75" customHeight="1">
      <c r="B92" s="293"/>
      <c r="D92" s="293"/>
      <c r="F92" s="293"/>
      <c r="H92" s="293"/>
      <c r="I92" s="293"/>
      <c r="J92" s="293"/>
      <c r="K92" s="293"/>
      <c r="L92" s="293"/>
      <c r="N92" s="294"/>
      <c r="O92" s="295"/>
    </row>
    <row r="93" ht="15.75" customHeight="1">
      <c r="B93" s="293"/>
      <c r="D93" s="293"/>
      <c r="F93" s="293"/>
      <c r="H93" s="293"/>
      <c r="I93" s="293"/>
      <c r="J93" s="293"/>
      <c r="K93" s="293"/>
      <c r="L93" s="293"/>
      <c r="N93" s="294"/>
      <c r="O93" s="295"/>
    </row>
    <row r="94" ht="15.75" customHeight="1">
      <c r="B94" s="293"/>
      <c r="D94" s="293"/>
      <c r="F94" s="293"/>
      <c r="H94" s="293"/>
      <c r="I94" s="293"/>
      <c r="J94" s="293"/>
      <c r="K94" s="293"/>
      <c r="L94" s="293"/>
      <c r="N94" s="294"/>
      <c r="O94" s="295"/>
    </row>
    <row r="95" ht="15.75" customHeight="1">
      <c r="B95" s="293"/>
      <c r="D95" s="293"/>
      <c r="F95" s="293"/>
      <c r="H95" s="293"/>
      <c r="I95" s="293"/>
      <c r="J95" s="293"/>
      <c r="K95" s="293"/>
      <c r="L95" s="293"/>
      <c r="N95" s="294"/>
      <c r="O95" s="295"/>
    </row>
    <row r="96" ht="15.75" customHeight="1">
      <c r="B96" s="293"/>
      <c r="D96" s="293"/>
      <c r="F96" s="293"/>
      <c r="H96" s="293"/>
      <c r="I96" s="293"/>
      <c r="J96" s="293"/>
      <c r="K96" s="293"/>
      <c r="L96" s="293"/>
      <c r="N96" s="294"/>
      <c r="O96" s="295"/>
    </row>
    <row r="97" ht="15.75" customHeight="1">
      <c r="B97" s="293"/>
      <c r="D97" s="293"/>
      <c r="F97" s="293"/>
      <c r="H97" s="293"/>
      <c r="I97" s="293"/>
      <c r="J97" s="293"/>
      <c r="K97" s="293"/>
      <c r="L97" s="293"/>
      <c r="N97" s="294"/>
      <c r="O97" s="295"/>
    </row>
    <row r="98" ht="15.75" customHeight="1">
      <c r="B98" s="293"/>
      <c r="D98" s="293"/>
      <c r="F98" s="293"/>
      <c r="H98" s="293"/>
      <c r="I98" s="293"/>
      <c r="J98" s="293"/>
      <c r="K98" s="293"/>
      <c r="L98" s="293"/>
      <c r="N98" s="294"/>
      <c r="O98" s="295"/>
    </row>
    <row r="99" ht="15.75" customHeight="1">
      <c r="B99" s="293"/>
      <c r="D99" s="293"/>
      <c r="F99" s="293"/>
      <c r="H99" s="293"/>
      <c r="I99" s="293"/>
      <c r="J99" s="293"/>
      <c r="K99" s="293"/>
      <c r="L99" s="293"/>
      <c r="N99" s="294"/>
      <c r="O99" s="295"/>
    </row>
    <row r="100" ht="15.75" customHeight="1">
      <c r="B100" s="293"/>
      <c r="D100" s="293"/>
      <c r="F100" s="293"/>
      <c r="H100" s="293"/>
      <c r="I100" s="293"/>
      <c r="J100" s="293"/>
      <c r="K100" s="293"/>
      <c r="L100" s="293"/>
      <c r="N100" s="294"/>
      <c r="O100" s="295"/>
    </row>
    <row r="101" ht="15.75" customHeight="1">
      <c r="B101" s="293"/>
      <c r="D101" s="293"/>
      <c r="F101" s="293"/>
      <c r="H101" s="293"/>
      <c r="I101" s="293"/>
      <c r="J101" s="293"/>
      <c r="K101" s="293"/>
      <c r="L101" s="293"/>
      <c r="N101" s="294"/>
      <c r="O101" s="295"/>
    </row>
    <row r="102" ht="15.75" customHeight="1">
      <c r="B102" s="293"/>
      <c r="D102" s="293"/>
      <c r="F102" s="293"/>
      <c r="H102" s="293"/>
      <c r="I102" s="293"/>
      <c r="J102" s="293"/>
      <c r="K102" s="293"/>
      <c r="L102" s="293"/>
      <c r="N102" s="294"/>
      <c r="O102" s="295"/>
    </row>
    <row r="103" ht="15.75" customHeight="1">
      <c r="B103" s="293"/>
      <c r="D103" s="293"/>
      <c r="F103" s="293"/>
      <c r="H103" s="293"/>
      <c r="I103" s="293"/>
      <c r="J103" s="293"/>
      <c r="K103" s="293"/>
      <c r="L103" s="293"/>
      <c r="N103" s="294"/>
      <c r="O103" s="295"/>
    </row>
    <row r="104" ht="15.75" customHeight="1">
      <c r="B104" s="293"/>
      <c r="D104" s="293"/>
      <c r="F104" s="293"/>
      <c r="H104" s="293"/>
      <c r="I104" s="293"/>
      <c r="J104" s="293"/>
      <c r="K104" s="293"/>
      <c r="L104" s="293"/>
      <c r="N104" s="294"/>
      <c r="O104" s="295"/>
    </row>
    <row r="105" ht="15.75" customHeight="1">
      <c r="B105" s="293"/>
      <c r="D105" s="293"/>
      <c r="F105" s="293"/>
      <c r="H105" s="293"/>
      <c r="I105" s="293"/>
      <c r="J105" s="293"/>
      <c r="K105" s="293"/>
      <c r="L105" s="293"/>
      <c r="N105" s="294"/>
      <c r="O105" s="295"/>
    </row>
    <row r="106" ht="15.75" customHeight="1">
      <c r="B106" s="293"/>
      <c r="D106" s="293"/>
      <c r="F106" s="293"/>
      <c r="H106" s="293"/>
      <c r="I106" s="293"/>
      <c r="J106" s="293"/>
      <c r="K106" s="293"/>
      <c r="L106" s="293"/>
      <c r="N106" s="294"/>
      <c r="O106" s="295"/>
    </row>
    <row r="107" ht="15.75" customHeight="1">
      <c r="B107" s="293"/>
      <c r="D107" s="293"/>
      <c r="F107" s="293"/>
      <c r="H107" s="293"/>
      <c r="I107" s="293"/>
      <c r="J107" s="293"/>
      <c r="K107" s="293"/>
      <c r="L107" s="293"/>
      <c r="N107" s="294"/>
      <c r="O107" s="295"/>
    </row>
    <row r="108" ht="15.75" customHeight="1">
      <c r="B108" s="293"/>
      <c r="D108" s="293"/>
      <c r="F108" s="293"/>
      <c r="H108" s="293"/>
      <c r="I108" s="293"/>
      <c r="J108" s="293"/>
      <c r="K108" s="293"/>
      <c r="L108" s="293"/>
      <c r="N108" s="294"/>
      <c r="O108" s="295"/>
    </row>
    <row r="109" ht="15.75" customHeight="1">
      <c r="B109" s="293"/>
      <c r="D109" s="293"/>
      <c r="F109" s="293"/>
      <c r="H109" s="293"/>
      <c r="I109" s="293"/>
      <c r="J109" s="293"/>
      <c r="K109" s="293"/>
      <c r="L109" s="293"/>
      <c r="N109" s="294"/>
      <c r="O109" s="295"/>
    </row>
    <row r="110" ht="15.75" customHeight="1">
      <c r="B110" s="293"/>
      <c r="D110" s="293"/>
      <c r="F110" s="293"/>
      <c r="H110" s="293"/>
      <c r="I110" s="293"/>
      <c r="J110" s="293"/>
      <c r="K110" s="293"/>
      <c r="L110" s="293"/>
      <c r="N110" s="294"/>
      <c r="O110" s="295"/>
    </row>
    <row r="111" ht="15.75" customHeight="1">
      <c r="B111" s="293"/>
      <c r="D111" s="293"/>
      <c r="F111" s="293"/>
      <c r="H111" s="293"/>
      <c r="I111" s="293"/>
      <c r="J111" s="293"/>
      <c r="K111" s="293"/>
      <c r="L111" s="293"/>
      <c r="N111" s="294"/>
      <c r="O111" s="295"/>
    </row>
    <row r="112" ht="15.75" customHeight="1">
      <c r="B112" s="293"/>
      <c r="D112" s="293"/>
      <c r="F112" s="293"/>
      <c r="H112" s="293"/>
      <c r="I112" s="293"/>
      <c r="J112" s="293"/>
      <c r="K112" s="293"/>
      <c r="L112" s="293"/>
      <c r="N112" s="294"/>
      <c r="O112" s="295"/>
    </row>
    <row r="113" ht="15.75" customHeight="1">
      <c r="B113" s="293"/>
      <c r="D113" s="293"/>
      <c r="F113" s="293"/>
      <c r="H113" s="293"/>
      <c r="I113" s="293"/>
      <c r="J113" s="293"/>
      <c r="K113" s="293"/>
      <c r="L113" s="293"/>
      <c r="N113" s="294"/>
      <c r="O113" s="295"/>
    </row>
    <row r="114" ht="15.75" customHeight="1">
      <c r="B114" s="293"/>
      <c r="D114" s="293"/>
      <c r="F114" s="293"/>
      <c r="H114" s="293"/>
      <c r="I114" s="293"/>
      <c r="J114" s="293"/>
      <c r="K114" s="293"/>
      <c r="L114" s="293"/>
      <c r="N114" s="294"/>
      <c r="O114" s="295"/>
    </row>
    <row r="115" ht="15.75" customHeight="1">
      <c r="B115" s="293"/>
      <c r="D115" s="293"/>
      <c r="F115" s="293"/>
      <c r="H115" s="293"/>
      <c r="I115" s="293"/>
      <c r="J115" s="293"/>
      <c r="K115" s="293"/>
      <c r="L115" s="293"/>
      <c r="N115" s="294"/>
      <c r="O115" s="295"/>
    </row>
    <row r="116" ht="15.75" customHeight="1">
      <c r="B116" s="293"/>
      <c r="D116" s="293"/>
      <c r="F116" s="293"/>
      <c r="H116" s="293"/>
      <c r="I116" s="293"/>
      <c r="J116" s="293"/>
      <c r="K116" s="293"/>
      <c r="L116" s="293"/>
      <c r="N116" s="294"/>
      <c r="O116" s="295"/>
    </row>
    <row r="117" ht="15.75" customHeight="1">
      <c r="B117" s="293"/>
      <c r="D117" s="293"/>
      <c r="F117" s="293"/>
      <c r="H117" s="293"/>
      <c r="I117" s="293"/>
      <c r="J117" s="293"/>
      <c r="K117" s="293"/>
      <c r="L117" s="293"/>
      <c r="N117" s="294"/>
      <c r="O117" s="295"/>
    </row>
    <row r="118" ht="15.75" customHeight="1">
      <c r="B118" s="293"/>
      <c r="D118" s="293"/>
      <c r="F118" s="293"/>
      <c r="H118" s="293"/>
      <c r="I118" s="293"/>
      <c r="J118" s="293"/>
      <c r="K118" s="293"/>
      <c r="L118" s="293"/>
      <c r="N118" s="294"/>
      <c r="O118" s="295"/>
    </row>
    <row r="119" ht="15.75" customHeight="1">
      <c r="B119" s="293"/>
      <c r="D119" s="293"/>
      <c r="F119" s="293"/>
      <c r="H119" s="293"/>
      <c r="I119" s="293"/>
      <c r="J119" s="293"/>
      <c r="K119" s="293"/>
      <c r="L119" s="293"/>
      <c r="N119" s="294"/>
      <c r="O119" s="295"/>
    </row>
    <row r="120" ht="15.75" customHeight="1">
      <c r="B120" s="293"/>
      <c r="D120" s="293"/>
      <c r="F120" s="293"/>
      <c r="H120" s="293"/>
      <c r="I120" s="293"/>
      <c r="J120" s="293"/>
      <c r="K120" s="293"/>
      <c r="L120" s="293"/>
      <c r="N120" s="294"/>
      <c r="O120" s="295"/>
    </row>
    <row r="121" ht="15.75" customHeight="1">
      <c r="B121" s="293"/>
      <c r="D121" s="293"/>
      <c r="F121" s="293"/>
      <c r="H121" s="293"/>
      <c r="I121" s="293"/>
      <c r="J121" s="293"/>
      <c r="K121" s="293"/>
      <c r="L121" s="293"/>
      <c r="N121" s="294"/>
      <c r="O121" s="295"/>
    </row>
    <row r="122" ht="15.75" customHeight="1">
      <c r="B122" s="293"/>
      <c r="D122" s="293"/>
      <c r="F122" s="293"/>
      <c r="H122" s="293"/>
      <c r="I122" s="293"/>
      <c r="J122" s="293"/>
      <c r="K122" s="293"/>
      <c r="L122" s="293"/>
      <c r="N122" s="294"/>
      <c r="O122" s="295"/>
    </row>
    <row r="123" ht="15.75" customHeight="1">
      <c r="B123" s="293"/>
      <c r="D123" s="293"/>
      <c r="F123" s="293"/>
      <c r="H123" s="293"/>
      <c r="I123" s="293"/>
      <c r="J123" s="293"/>
      <c r="K123" s="293"/>
      <c r="L123" s="293"/>
      <c r="N123" s="294"/>
      <c r="O123" s="295"/>
    </row>
    <row r="124" ht="15.75" customHeight="1">
      <c r="B124" s="293"/>
      <c r="D124" s="293"/>
      <c r="F124" s="293"/>
      <c r="H124" s="293"/>
      <c r="I124" s="293"/>
      <c r="J124" s="293"/>
      <c r="K124" s="293"/>
      <c r="L124" s="293"/>
      <c r="N124" s="294"/>
      <c r="O124" s="295"/>
    </row>
    <row r="125" ht="15.75" customHeight="1">
      <c r="B125" s="293"/>
      <c r="D125" s="293"/>
      <c r="F125" s="293"/>
      <c r="H125" s="293"/>
      <c r="I125" s="293"/>
      <c r="J125" s="293"/>
      <c r="K125" s="293"/>
      <c r="L125" s="293"/>
      <c r="N125" s="294"/>
      <c r="O125" s="295"/>
    </row>
    <row r="126" ht="15.75" customHeight="1">
      <c r="B126" s="293"/>
      <c r="D126" s="293"/>
      <c r="F126" s="293"/>
      <c r="H126" s="293"/>
      <c r="I126" s="293"/>
      <c r="J126" s="293"/>
      <c r="K126" s="293"/>
      <c r="L126" s="293"/>
      <c r="N126" s="294"/>
      <c r="O126" s="295"/>
    </row>
    <row r="127" ht="15.75" customHeight="1">
      <c r="B127" s="293"/>
      <c r="D127" s="293"/>
      <c r="F127" s="293"/>
      <c r="H127" s="293"/>
      <c r="I127" s="293"/>
      <c r="J127" s="293"/>
      <c r="K127" s="293"/>
      <c r="L127" s="293"/>
      <c r="N127" s="294"/>
      <c r="O127" s="295"/>
    </row>
    <row r="128" ht="15.75" customHeight="1">
      <c r="B128" s="293"/>
      <c r="D128" s="293"/>
      <c r="F128" s="293"/>
      <c r="H128" s="293"/>
      <c r="I128" s="293"/>
      <c r="J128" s="293"/>
      <c r="K128" s="293"/>
      <c r="L128" s="293"/>
      <c r="N128" s="294"/>
      <c r="O128" s="295"/>
    </row>
    <row r="129" ht="15.75" customHeight="1">
      <c r="B129" s="293"/>
      <c r="D129" s="293"/>
      <c r="F129" s="293"/>
      <c r="H129" s="293"/>
      <c r="I129" s="293"/>
      <c r="J129" s="293"/>
      <c r="K129" s="293"/>
      <c r="L129" s="293"/>
      <c r="N129" s="294"/>
      <c r="O129" s="295"/>
    </row>
    <row r="130" ht="15.75" customHeight="1">
      <c r="B130" s="293"/>
      <c r="D130" s="293"/>
      <c r="F130" s="293"/>
      <c r="H130" s="293"/>
      <c r="I130" s="293"/>
      <c r="J130" s="293"/>
      <c r="K130" s="293"/>
      <c r="L130" s="293"/>
      <c r="N130" s="294"/>
      <c r="O130" s="295"/>
    </row>
    <row r="131" ht="15.75" customHeight="1">
      <c r="B131" s="293"/>
      <c r="D131" s="293"/>
      <c r="F131" s="293"/>
      <c r="H131" s="293"/>
      <c r="I131" s="293"/>
      <c r="J131" s="293"/>
      <c r="K131" s="293"/>
      <c r="L131" s="293"/>
      <c r="N131" s="294"/>
      <c r="O131" s="295"/>
    </row>
    <row r="132" ht="15.75" customHeight="1">
      <c r="B132" s="293"/>
      <c r="D132" s="293"/>
      <c r="F132" s="293"/>
      <c r="H132" s="293"/>
      <c r="I132" s="293"/>
      <c r="J132" s="293"/>
      <c r="K132" s="293"/>
      <c r="L132" s="293"/>
      <c r="N132" s="294"/>
      <c r="O132" s="295"/>
    </row>
    <row r="133" ht="15.75" customHeight="1">
      <c r="B133" s="293"/>
      <c r="D133" s="293"/>
      <c r="F133" s="293"/>
      <c r="H133" s="293"/>
      <c r="I133" s="293"/>
      <c r="J133" s="293"/>
      <c r="K133" s="293"/>
      <c r="L133" s="293"/>
      <c r="N133" s="294"/>
      <c r="O133" s="295"/>
    </row>
    <row r="134" ht="15.75" customHeight="1">
      <c r="B134" s="293"/>
      <c r="D134" s="293"/>
      <c r="F134" s="293"/>
      <c r="H134" s="293"/>
      <c r="I134" s="293"/>
      <c r="J134" s="293"/>
      <c r="K134" s="293"/>
      <c r="L134" s="293"/>
      <c r="N134" s="294"/>
      <c r="O134" s="295"/>
    </row>
    <row r="135" ht="15.75" customHeight="1">
      <c r="B135" s="293"/>
      <c r="D135" s="293"/>
      <c r="F135" s="293"/>
      <c r="H135" s="293"/>
      <c r="I135" s="293"/>
      <c r="J135" s="293"/>
      <c r="K135" s="293"/>
      <c r="L135" s="293"/>
      <c r="N135" s="294"/>
      <c r="O135" s="295"/>
    </row>
    <row r="136" ht="15.75" customHeight="1">
      <c r="B136" s="293"/>
      <c r="D136" s="293"/>
      <c r="F136" s="293"/>
      <c r="H136" s="293"/>
      <c r="I136" s="293"/>
      <c r="J136" s="293"/>
      <c r="K136" s="293"/>
      <c r="L136" s="293"/>
      <c r="N136" s="294"/>
      <c r="O136" s="295"/>
    </row>
    <row r="137" ht="15.75" customHeight="1">
      <c r="B137" s="293"/>
      <c r="D137" s="293"/>
      <c r="F137" s="293"/>
      <c r="H137" s="293"/>
      <c r="I137" s="293"/>
      <c r="J137" s="293"/>
      <c r="K137" s="293"/>
      <c r="L137" s="293"/>
      <c r="N137" s="294"/>
      <c r="O137" s="295"/>
    </row>
    <row r="138" ht="15.75" customHeight="1">
      <c r="B138" s="293"/>
      <c r="D138" s="293"/>
      <c r="F138" s="293"/>
      <c r="H138" s="293"/>
      <c r="I138" s="293"/>
      <c r="J138" s="293"/>
      <c r="K138" s="293"/>
      <c r="L138" s="293"/>
      <c r="N138" s="294"/>
      <c r="O138" s="295"/>
    </row>
    <row r="139" ht="15.75" customHeight="1">
      <c r="B139" s="293"/>
      <c r="D139" s="293"/>
      <c r="F139" s="293"/>
      <c r="H139" s="293"/>
      <c r="I139" s="293"/>
      <c r="J139" s="293"/>
      <c r="K139" s="293"/>
      <c r="L139" s="293"/>
      <c r="N139" s="294"/>
      <c r="O139" s="295"/>
    </row>
    <row r="140" ht="15.75" customHeight="1">
      <c r="B140" s="293"/>
      <c r="D140" s="293"/>
      <c r="F140" s="293"/>
      <c r="H140" s="293"/>
      <c r="I140" s="293"/>
      <c r="J140" s="293"/>
      <c r="K140" s="293"/>
      <c r="L140" s="293"/>
      <c r="N140" s="294"/>
      <c r="O140" s="295"/>
    </row>
    <row r="141" ht="15.75" customHeight="1">
      <c r="B141" s="293"/>
      <c r="D141" s="293"/>
      <c r="F141" s="293"/>
      <c r="H141" s="293"/>
      <c r="I141" s="293"/>
      <c r="J141" s="293"/>
      <c r="K141" s="293"/>
      <c r="L141" s="293"/>
      <c r="N141" s="294"/>
      <c r="O141" s="295"/>
    </row>
    <row r="142" ht="15.75" customHeight="1">
      <c r="B142" s="293"/>
      <c r="D142" s="293"/>
      <c r="F142" s="293"/>
      <c r="H142" s="293"/>
      <c r="I142" s="293"/>
      <c r="J142" s="293"/>
      <c r="K142" s="293"/>
      <c r="L142" s="293"/>
      <c r="N142" s="294"/>
      <c r="O142" s="295"/>
    </row>
    <row r="143" ht="15.75" customHeight="1">
      <c r="B143" s="293"/>
      <c r="D143" s="293"/>
      <c r="F143" s="293"/>
      <c r="H143" s="293"/>
      <c r="I143" s="293"/>
      <c r="J143" s="293"/>
      <c r="K143" s="293"/>
      <c r="L143" s="293"/>
      <c r="N143" s="294"/>
      <c r="O143" s="295"/>
    </row>
    <row r="144" ht="15.75" customHeight="1">
      <c r="B144" s="293"/>
      <c r="D144" s="293"/>
      <c r="F144" s="293"/>
      <c r="H144" s="293"/>
      <c r="I144" s="293"/>
      <c r="J144" s="293"/>
      <c r="K144" s="293"/>
      <c r="L144" s="293"/>
      <c r="N144" s="294"/>
      <c r="O144" s="295"/>
    </row>
    <row r="145" ht="15.75" customHeight="1">
      <c r="B145" s="293"/>
      <c r="D145" s="293"/>
      <c r="F145" s="293"/>
      <c r="H145" s="293"/>
      <c r="I145" s="293"/>
      <c r="J145" s="293"/>
      <c r="K145" s="293"/>
      <c r="L145" s="293"/>
      <c r="N145" s="294"/>
      <c r="O145" s="295"/>
    </row>
    <row r="146" ht="15.75" customHeight="1">
      <c r="B146" s="293"/>
      <c r="D146" s="293"/>
      <c r="F146" s="293"/>
      <c r="H146" s="293"/>
      <c r="I146" s="293"/>
      <c r="J146" s="293"/>
      <c r="K146" s="293"/>
      <c r="L146" s="293"/>
      <c r="N146" s="294"/>
      <c r="O146" s="295"/>
    </row>
    <row r="147" ht="15.75" customHeight="1">
      <c r="B147" s="293"/>
      <c r="D147" s="293"/>
      <c r="F147" s="293"/>
      <c r="H147" s="293"/>
      <c r="I147" s="293"/>
      <c r="J147" s="293"/>
      <c r="K147" s="293"/>
      <c r="L147" s="293"/>
      <c r="N147" s="294"/>
      <c r="O147" s="295"/>
    </row>
    <row r="148" ht="15.75" customHeight="1">
      <c r="B148" s="293"/>
      <c r="D148" s="293"/>
      <c r="F148" s="293"/>
      <c r="H148" s="293"/>
      <c r="I148" s="293"/>
      <c r="J148" s="293"/>
      <c r="K148" s="293"/>
      <c r="L148" s="293"/>
      <c r="N148" s="294"/>
      <c r="O148" s="295"/>
    </row>
    <row r="149" ht="15.75" customHeight="1">
      <c r="B149" s="293"/>
      <c r="D149" s="293"/>
      <c r="F149" s="293"/>
      <c r="H149" s="293"/>
      <c r="I149" s="293"/>
      <c r="J149" s="293"/>
      <c r="K149" s="293"/>
      <c r="L149" s="293"/>
      <c r="N149" s="294"/>
      <c r="O149" s="295"/>
    </row>
    <row r="150" ht="15.75" customHeight="1">
      <c r="B150" s="293"/>
      <c r="D150" s="293"/>
      <c r="F150" s="293"/>
      <c r="H150" s="293"/>
      <c r="I150" s="293"/>
      <c r="J150" s="293"/>
      <c r="K150" s="293"/>
      <c r="L150" s="293"/>
      <c r="N150" s="294"/>
      <c r="O150" s="295"/>
    </row>
    <row r="151" ht="15.75" customHeight="1">
      <c r="B151" s="293"/>
      <c r="D151" s="293"/>
      <c r="F151" s="293"/>
      <c r="H151" s="293"/>
      <c r="I151" s="293"/>
      <c r="J151" s="293"/>
      <c r="K151" s="293"/>
      <c r="L151" s="293"/>
      <c r="N151" s="294"/>
      <c r="O151" s="295"/>
    </row>
    <row r="152" ht="15.75" customHeight="1">
      <c r="B152" s="293"/>
      <c r="D152" s="293"/>
      <c r="F152" s="293"/>
      <c r="H152" s="293"/>
      <c r="I152" s="293"/>
      <c r="J152" s="293"/>
      <c r="K152" s="293"/>
      <c r="L152" s="293"/>
      <c r="N152" s="294"/>
      <c r="O152" s="295"/>
    </row>
    <row r="153" ht="15.75" customHeight="1">
      <c r="B153" s="293"/>
      <c r="D153" s="293"/>
      <c r="F153" s="293"/>
      <c r="H153" s="293"/>
      <c r="I153" s="293"/>
      <c r="J153" s="293"/>
      <c r="K153" s="293"/>
      <c r="L153" s="293"/>
      <c r="N153" s="294"/>
      <c r="O153" s="295"/>
    </row>
    <row r="154" ht="15.75" customHeight="1">
      <c r="B154" s="293"/>
      <c r="D154" s="293"/>
      <c r="F154" s="293"/>
      <c r="H154" s="293"/>
      <c r="I154" s="293"/>
      <c r="J154" s="293"/>
      <c r="K154" s="293"/>
      <c r="L154" s="293"/>
      <c r="N154" s="294"/>
      <c r="O154" s="295"/>
    </row>
    <row r="155" ht="15.75" customHeight="1">
      <c r="B155" s="293"/>
      <c r="D155" s="293"/>
      <c r="F155" s="293"/>
      <c r="H155" s="293"/>
      <c r="I155" s="293"/>
      <c r="J155" s="293"/>
      <c r="K155" s="293"/>
      <c r="L155" s="293"/>
      <c r="N155" s="294"/>
      <c r="O155" s="295"/>
    </row>
    <row r="156" ht="15.75" customHeight="1">
      <c r="B156" s="293"/>
      <c r="D156" s="293"/>
      <c r="F156" s="293"/>
      <c r="H156" s="293"/>
      <c r="I156" s="293"/>
      <c r="J156" s="293"/>
      <c r="K156" s="293"/>
      <c r="L156" s="293"/>
      <c r="N156" s="294"/>
      <c r="O156" s="295"/>
    </row>
    <row r="157" ht="15.75" customHeight="1">
      <c r="B157" s="293"/>
      <c r="D157" s="293"/>
      <c r="F157" s="293"/>
      <c r="H157" s="293"/>
      <c r="I157" s="293"/>
      <c r="J157" s="293"/>
      <c r="K157" s="293"/>
      <c r="L157" s="293"/>
      <c r="N157" s="294"/>
      <c r="O157" s="295"/>
    </row>
    <row r="158" ht="15.75" customHeight="1">
      <c r="B158" s="293"/>
      <c r="D158" s="293"/>
      <c r="F158" s="293"/>
      <c r="H158" s="293"/>
      <c r="I158" s="293"/>
      <c r="J158" s="293"/>
      <c r="K158" s="293"/>
      <c r="L158" s="293"/>
      <c r="N158" s="294"/>
      <c r="O158" s="295"/>
    </row>
    <row r="159" ht="15.75" customHeight="1">
      <c r="B159" s="293"/>
      <c r="D159" s="293"/>
      <c r="F159" s="293"/>
      <c r="H159" s="293"/>
      <c r="I159" s="293"/>
      <c r="J159" s="293"/>
      <c r="K159" s="293"/>
      <c r="L159" s="293"/>
      <c r="N159" s="294"/>
      <c r="O159" s="295"/>
    </row>
    <row r="160" ht="15.75" customHeight="1">
      <c r="B160" s="293"/>
      <c r="D160" s="293"/>
      <c r="F160" s="293"/>
      <c r="H160" s="293"/>
      <c r="I160" s="293"/>
      <c r="J160" s="293"/>
      <c r="K160" s="293"/>
      <c r="L160" s="293"/>
      <c r="N160" s="294"/>
      <c r="O160" s="295"/>
    </row>
    <row r="161" ht="15.75" customHeight="1">
      <c r="B161" s="293"/>
      <c r="D161" s="293"/>
      <c r="F161" s="293"/>
      <c r="H161" s="293"/>
      <c r="I161" s="293"/>
      <c r="J161" s="293"/>
      <c r="K161" s="293"/>
      <c r="L161" s="293"/>
      <c r="N161" s="294"/>
      <c r="O161" s="295"/>
    </row>
    <row r="162" ht="15.75" customHeight="1">
      <c r="B162" s="293"/>
      <c r="D162" s="293"/>
      <c r="F162" s="293"/>
      <c r="H162" s="293"/>
      <c r="I162" s="293"/>
      <c r="J162" s="293"/>
      <c r="K162" s="293"/>
      <c r="L162" s="293"/>
      <c r="N162" s="294"/>
      <c r="O162" s="295"/>
    </row>
    <row r="163" ht="15.75" customHeight="1">
      <c r="B163" s="293"/>
      <c r="D163" s="293"/>
      <c r="F163" s="293"/>
      <c r="H163" s="293"/>
      <c r="I163" s="293"/>
      <c r="J163" s="293"/>
      <c r="K163" s="293"/>
      <c r="L163" s="293"/>
      <c r="N163" s="294"/>
      <c r="O163" s="295"/>
    </row>
    <row r="164" ht="15.75" customHeight="1">
      <c r="B164" s="293"/>
      <c r="D164" s="293"/>
      <c r="F164" s="293"/>
      <c r="H164" s="293"/>
      <c r="I164" s="293"/>
      <c r="J164" s="293"/>
      <c r="K164" s="293"/>
      <c r="L164" s="293"/>
      <c r="N164" s="294"/>
      <c r="O164" s="295"/>
    </row>
    <row r="165" ht="15.75" customHeight="1">
      <c r="B165" s="293"/>
      <c r="D165" s="293"/>
      <c r="F165" s="293"/>
      <c r="H165" s="293"/>
      <c r="I165" s="293"/>
      <c r="J165" s="293"/>
      <c r="K165" s="293"/>
      <c r="L165" s="293"/>
      <c r="N165" s="294"/>
      <c r="O165" s="295"/>
    </row>
    <row r="166" ht="15.75" customHeight="1">
      <c r="B166" s="293"/>
      <c r="D166" s="293"/>
      <c r="F166" s="293"/>
      <c r="H166" s="293"/>
      <c r="I166" s="293"/>
      <c r="J166" s="293"/>
      <c r="K166" s="293"/>
      <c r="L166" s="293"/>
      <c r="N166" s="294"/>
      <c r="O166" s="295"/>
    </row>
    <row r="167" ht="15.75" customHeight="1">
      <c r="B167" s="293"/>
      <c r="D167" s="293"/>
      <c r="F167" s="293"/>
      <c r="H167" s="293"/>
      <c r="I167" s="293"/>
      <c r="J167" s="293"/>
      <c r="K167" s="293"/>
      <c r="L167" s="293"/>
      <c r="N167" s="294"/>
      <c r="O167" s="295"/>
    </row>
    <row r="168" ht="15.75" customHeight="1">
      <c r="B168" s="293"/>
      <c r="D168" s="293"/>
      <c r="F168" s="293"/>
      <c r="H168" s="293"/>
      <c r="I168" s="293"/>
      <c r="J168" s="293"/>
      <c r="K168" s="293"/>
      <c r="L168" s="293"/>
      <c r="N168" s="294"/>
      <c r="O168" s="295"/>
    </row>
    <row r="169" ht="15.75" customHeight="1">
      <c r="B169" s="293"/>
      <c r="D169" s="293"/>
      <c r="F169" s="293"/>
      <c r="H169" s="293"/>
      <c r="I169" s="293"/>
      <c r="J169" s="293"/>
      <c r="K169" s="293"/>
      <c r="L169" s="293"/>
      <c r="N169" s="294"/>
      <c r="O169" s="295"/>
    </row>
    <row r="170" ht="15.75" customHeight="1">
      <c r="B170" s="293"/>
      <c r="D170" s="293"/>
      <c r="F170" s="293"/>
      <c r="H170" s="293"/>
      <c r="I170" s="293"/>
      <c r="J170" s="293"/>
      <c r="K170" s="293"/>
      <c r="L170" s="293"/>
      <c r="N170" s="294"/>
      <c r="O170" s="295"/>
    </row>
    <row r="171" ht="15.75" customHeight="1">
      <c r="B171" s="293"/>
      <c r="D171" s="293"/>
      <c r="F171" s="293"/>
      <c r="H171" s="293"/>
      <c r="I171" s="293"/>
      <c r="J171" s="293"/>
      <c r="K171" s="293"/>
      <c r="L171" s="293"/>
      <c r="N171" s="294"/>
      <c r="O171" s="295"/>
    </row>
    <row r="172" ht="15.75" customHeight="1">
      <c r="B172" s="293"/>
      <c r="D172" s="293"/>
      <c r="F172" s="293"/>
      <c r="H172" s="293"/>
      <c r="I172" s="293"/>
      <c r="J172" s="293"/>
      <c r="K172" s="293"/>
      <c r="L172" s="293"/>
      <c r="N172" s="294"/>
      <c r="O172" s="295"/>
    </row>
    <row r="173" ht="15.75" customHeight="1">
      <c r="B173" s="293"/>
      <c r="D173" s="293"/>
      <c r="F173" s="293"/>
      <c r="H173" s="293"/>
      <c r="I173" s="293"/>
      <c r="J173" s="293"/>
      <c r="K173" s="293"/>
      <c r="L173" s="293"/>
      <c r="N173" s="294"/>
      <c r="O173" s="295"/>
    </row>
    <row r="174" ht="15.75" customHeight="1">
      <c r="B174" s="293"/>
      <c r="D174" s="293"/>
      <c r="F174" s="293"/>
      <c r="H174" s="293"/>
      <c r="I174" s="293"/>
      <c r="J174" s="293"/>
      <c r="K174" s="293"/>
      <c r="L174" s="293"/>
      <c r="N174" s="294"/>
      <c r="O174" s="295"/>
    </row>
    <row r="175" ht="15.75" customHeight="1">
      <c r="B175" s="293"/>
      <c r="D175" s="293"/>
      <c r="F175" s="293"/>
      <c r="H175" s="293"/>
      <c r="I175" s="293"/>
      <c r="J175" s="293"/>
      <c r="K175" s="293"/>
      <c r="L175" s="293"/>
      <c r="N175" s="294"/>
      <c r="O175" s="295"/>
    </row>
    <row r="176" ht="15.75" customHeight="1">
      <c r="B176" s="293"/>
      <c r="D176" s="293"/>
      <c r="F176" s="293"/>
      <c r="H176" s="293"/>
      <c r="I176" s="293"/>
      <c r="J176" s="293"/>
      <c r="K176" s="293"/>
      <c r="L176" s="293"/>
      <c r="N176" s="294"/>
      <c r="O176" s="295"/>
    </row>
    <row r="177" ht="15.75" customHeight="1">
      <c r="B177" s="293"/>
      <c r="D177" s="293"/>
      <c r="F177" s="293"/>
      <c r="H177" s="293"/>
      <c r="I177" s="293"/>
      <c r="J177" s="293"/>
      <c r="K177" s="293"/>
      <c r="L177" s="293"/>
      <c r="N177" s="294"/>
      <c r="O177" s="295"/>
    </row>
    <row r="178" ht="15.75" customHeight="1">
      <c r="B178" s="293"/>
      <c r="D178" s="293"/>
      <c r="F178" s="293"/>
      <c r="H178" s="293"/>
      <c r="I178" s="293"/>
      <c r="J178" s="293"/>
      <c r="K178" s="293"/>
      <c r="L178" s="293"/>
      <c r="N178" s="294"/>
      <c r="O178" s="295"/>
    </row>
    <row r="179" ht="15.75" customHeight="1">
      <c r="B179" s="293"/>
      <c r="D179" s="293"/>
      <c r="F179" s="293"/>
      <c r="H179" s="293"/>
      <c r="I179" s="293"/>
      <c r="J179" s="293"/>
      <c r="K179" s="293"/>
      <c r="L179" s="293"/>
      <c r="N179" s="294"/>
      <c r="O179" s="295"/>
    </row>
    <row r="180" ht="15.75" customHeight="1">
      <c r="B180" s="293"/>
      <c r="D180" s="293"/>
      <c r="F180" s="293"/>
      <c r="H180" s="293"/>
      <c r="I180" s="293"/>
      <c r="J180" s="293"/>
      <c r="K180" s="293"/>
      <c r="L180" s="293"/>
      <c r="N180" s="294"/>
      <c r="O180" s="295"/>
    </row>
    <row r="181" ht="15.75" customHeight="1">
      <c r="B181" s="293"/>
      <c r="D181" s="293"/>
      <c r="F181" s="293"/>
      <c r="H181" s="293"/>
      <c r="I181" s="293"/>
      <c r="J181" s="293"/>
      <c r="K181" s="293"/>
      <c r="L181" s="293"/>
      <c r="N181" s="294"/>
      <c r="O181" s="295"/>
    </row>
    <row r="182" ht="15.75" customHeight="1">
      <c r="B182" s="293"/>
      <c r="D182" s="293"/>
      <c r="F182" s="293"/>
      <c r="H182" s="293"/>
      <c r="I182" s="293"/>
      <c r="J182" s="293"/>
      <c r="K182" s="293"/>
      <c r="L182" s="293"/>
      <c r="N182" s="294"/>
      <c r="O182" s="295"/>
    </row>
    <row r="183" ht="15.75" customHeight="1">
      <c r="B183" s="293"/>
      <c r="D183" s="293"/>
      <c r="F183" s="293"/>
      <c r="H183" s="293"/>
      <c r="I183" s="293"/>
      <c r="J183" s="293"/>
      <c r="K183" s="293"/>
      <c r="L183" s="293"/>
      <c r="N183" s="294"/>
      <c r="O183" s="295"/>
    </row>
    <row r="184" ht="15.75" customHeight="1">
      <c r="B184" s="293"/>
      <c r="D184" s="293"/>
      <c r="F184" s="293"/>
      <c r="H184" s="293"/>
      <c r="I184" s="293"/>
      <c r="J184" s="293"/>
      <c r="K184" s="293"/>
      <c r="L184" s="293"/>
      <c r="N184" s="294"/>
      <c r="O184" s="295"/>
    </row>
    <row r="185" ht="15.75" customHeight="1">
      <c r="B185" s="293"/>
      <c r="D185" s="293"/>
      <c r="F185" s="293"/>
      <c r="H185" s="293"/>
      <c r="I185" s="293"/>
      <c r="J185" s="293"/>
      <c r="K185" s="293"/>
      <c r="L185" s="293"/>
      <c r="N185" s="294"/>
      <c r="O185" s="295"/>
    </row>
    <row r="186" ht="15.75" customHeight="1">
      <c r="B186" s="293"/>
      <c r="D186" s="293"/>
      <c r="F186" s="293"/>
      <c r="H186" s="293"/>
      <c r="I186" s="293"/>
      <c r="J186" s="293"/>
      <c r="K186" s="293"/>
      <c r="L186" s="293"/>
      <c r="N186" s="294"/>
      <c r="O186" s="295"/>
    </row>
    <row r="187" ht="15.75" customHeight="1">
      <c r="B187" s="293"/>
      <c r="D187" s="293"/>
      <c r="F187" s="293"/>
      <c r="H187" s="293"/>
      <c r="I187" s="293"/>
      <c r="J187" s="293"/>
      <c r="K187" s="293"/>
      <c r="L187" s="293"/>
      <c r="N187" s="294"/>
      <c r="O187" s="295"/>
    </row>
    <row r="188" ht="15.75" customHeight="1">
      <c r="B188" s="293"/>
      <c r="D188" s="293"/>
      <c r="F188" s="293"/>
      <c r="H188" s="293"/>
      <c r="I188" s="293"/>
      <c r="J188" s="293"/>
      <c r="K188" s="293"/>
      <c r="L188" s="293"/>
      <c r="N188" s="294"/>
      <c r="O188" s="295"/>
    </row>
    <row r="189" ht="15.75" customHeight="1">
      <c r="B189" s="293"/>
      <c r="D189" s="293"/>
      <c r="F189" s="293"/>
      <c r="H189" s="293"/>
      <c r="I189" s="293"/>
      <c r="J189" s="293"/>
      <c r="K189" s="293"/>
      <c r="L189" s="293"/>
      <c r="N189" s="294"/>
      <c r="O189" s="295"/>
    </row>
    <row r="190" ht="15.75" customHeight="1">
      <c r="B190" s="293"/>
      <c r="D190" s="293"/>
      <c r="F190" s="293"/>
      <c r="H190" s="293"/>
      <c r="I190" s="293"/>
      <c r="J190" s="293"/>
      <c r="K190" s="293"/>
      <c r="L190" s="293"/>
      <c r="N190" s="294"/>
      <c r="O190" s="295"/>
    </row>
    <row r="191" ht="15.75" customHeight="1">
      <c r="B191" s="293"/>
      <c r="D191" s="293"/>
      <c r="F191" s="293"/>
      <c r="H191" s="293"/>
      <c r="I191" s="293"/>
      <c r="J191" s="293"/>
      <c r="K191" s="293"/>
      <c r="L191" s="293"/>
      <c r="N191" s="294"/>
      <c r="O191" s="295"/>
    </row>
    <row r="192" ht="15.75" customHeight="1">
      <c r="B192" s="293"/>
      <c r="D192" s="293"/>
      <c r="F192" s="293"/>
      <c r="H192" s="293"/>
      <c r="I192" s="293"/>
      <c r="J192" s="293"/>
      <c r="K192" s="293"/>
      <c r="L192" s="293"/>
      <c r="N192" s="294"/>
      <c r="O192" s="295"/>
    </row>
    <row r="193" ht="15.75" customHeight="1">
      <c r="B193" s="293"/>
      <c r="D193" s="293"/>
      <c r="F193" s="293"/>
      <c r="H193" s="293"/>
      <c r="I193" s="293"/>
      <c r="J193" s="293"/>
      <c r="K193" s="293"/>
      <c r="L193" s="293"/>
      <c r="N193" s="294"/>
      <c r="O193" s="295"/>
    </row>
    <row r="194" ht="15.75" customHeight="1">
      <c r="B194" s="293"/>
      <c r="D194" s="293"/>
      <c r="F194" s="293"/>
      <c r="H194" s="293"/>
      <c r="I194" s="293"/>
      <c r="J194" s="293"/>
      <c r="K194" s="293"/>
      <c r="L194" s="293"/>
      <c r="N194" s="294"/>
      <c r="O194" s="295"/>
    </row>
    <row r="195" ht="15.75" customHeight="1">
      <c r="B195" s="293"/>
      <c r="D195" s="293"/>
      <c r="F195" s="293"/>
      <c r="H195" s="293"/>
      <c r="I195" s="293"/>
      <c r="J195" s="293"/>
      <c r="K195" s="293"/>
      <c r="L195" s="293"/>
      <c r="N195" s="294"/>
      <c r="O195" s="295"/>
    </row>
    <row r="196" ht="15.75" customHeight="1">
      <c r="B196" s="293"/>
      <c r="D196" s="293"/>
      <c r="F196" s="293"/>
      <c r="H196" s="293"/>
      <c r="I196" s="293"/>
      <c r="J196" s="293"/>
      <c r="K196" s="293"/>
      <c r="L196" s="293"/>
      <c r="N196" s="294"/>
      <c r="O196" s="295"/>
    </row>
    <row r="197" ht="15.75" customHeight="1">
      <c r="B197" s="293"/>
      <c r="D197" s="293"/>
      <c r="F197" s="293"/>
      <c r="H197" s="293"/>
      <c r="I197" s="293"/>
      <c r="J197" s="293"/>
      <c r="K197" s="293"/>
      <c r="L197" s="293"/>
      <c r="N197" s="294"/>
      <c r="O197" s="295"/>
    </row>
    <row r="198" ht="15.75" customHeight="1">
      <c r="B198" s="293"/>
      <c r="D198" s="293"/>
      <c r="F198" s="293"/>
      <c r="H198" s="293"/>
      <c r="I198" s="293"/>
      <c r="J198" s="293"/>
      <c r="K198" s="293"/>
      <c r="L198" s="293"/>
      <c r="N198" s="294"/>
      <c r="O198" s="295"/>
    </row>
    <row r="199" ht="15.75" customHeight="1">
      <c r="B199" s="293"/>
      <c r="D199" s="293"/>
      <c r="F199" s="293"/>
      <c r="H199" s="293"/>
      <c r="I199" s="293"/>
      <c r="J199" s="293"/>
      <c r="K199" s="293"/>
      <c r="L199" s="293"/>
      <c r="N199" s="294"/>
      <c r="O199" s="295"/>
    </row>
    <row r="200" ht="15.75" customHeight="1">
      <c r="B200" s="293"/>
      <c r="D200" s="293"/>
      <c r="F200" s="293"/>
      <c r="H200" s="293"/>
      <c r="I200" s="293"/>
      <c r="J200" s="293"/>
      <c r="K200" s="293"/>
      <c r="L200" s="293"/>
      <c r="N200" s="294"/>
      <c r="O200" s="295"/>
    </row>
    <row r="201" ht="15.75" customHeight="1">
      <c r="B201" s="293"/>
      <c r="D201" s="293"/>
      <c r="F201" s="293"/>
      <c r="H201" s="293"/>
      <c r="I201" s="293"/>
      <c r="J201" s="293"/>
      <c r="K201" s="293"/>
      <c r="L201" s="293"/>
      <c r="N201" s="294"/>
      <c r="O201" s="295"/>
    </row>
    <row r="202" ht="15.75" customHeight="1">
      <c r="B202" s="293"/>
      <c r="D202" s="293"/>
      <c r="F202" s="293"/>
      <c r="H202" s="293"/>
      <c r="I202" s="293"/>
      <c r="J202" s="293"/>
      <c r="K202" s="293"/>
      <c r="L202" s="293"/>
      <c r="N202" s="294"/>
      <c r="O202" s="295"/>
    </row>
    <row r="203" ht="15.75" customHeight="1">
      <c r="B203" s="293"/>
      <c r="D203" s="293"/>
      <c r="F203" s="293"/>
      <c r="H203" s="293"/>
      <c r="I203" s="293"/>
      <c r="J203" s="293"/>
      <c r="K203" s="293"/>
      <c r="L203" s="293"/>
      <c r="N203" s="294"/>
      <c r="O203" s="295"/>
    </row>
    <row r="204" ht="15.75" customHeight="1">
      <c r="B204" s="293"/>
      <c r="D204" s="293"/>
      <c r="F204" s="293"/>
      <c r="H204" s="293"/>
      <c r="I204" s="293"/>
      <c r="J204" s="293"/>
      <c r="K204" s="293"/>
      <c r="L204" s="293"/>
      <c r="N204" s="294"/>
      <c r="O204" s="295"/>
    </row>
    <row r="205" ht="15.75" customHeight="1">
      <c r="B205" s="293"/>
      <c r="D205" s="293"/>
      <c r="F205" s="293"/>
      <c r="H205" s="293"/>
      <c r="I205" s="293"/>
      <c r="J205" s="293"/>
      <c r="K205" s="293"/>
      <c r="L205" s="293"/>
      <c r="N205" s="294"/>
      <c r="O205" s="295"/>
    </row>
    <row r="206" ht="15.75" customHeight="1">
      <c r="B206" s="293"/>
      <c r="D206" s="293"/>
      <c r="F206" s="293"/>
      <c r="H206" s="293"/>
      <c r="I206" s="293"/>
      <c r="J206" s="293"/>
      <c r="K206" s="293"/>
      <c r="L206" s="293"/>
      <c r="N206" s="294"/>
      <c r="O206" s="295"/>
    </row>
    <row r="207" ht="15.75" customHeight="1">
      <c r="B207" s="293"/>
      <c r="D207" s="293"/>
      <c r="F207" s="293"/>
      <c r="H207" s="293"/>
      <c r="I207" s="293"/>
      <c r="J207" s="293"/>
      <c r="K207" s="293"/>
      <c r="L207" s="293"/>
      <c r="N207" s="294"/>
      <c r="O207" s="295"/>
    </row>
    <row r="208" ht="15.75" customHeight="1">
      <c r="B208" s="293"/>
      <c r="D208" s="293"/>
      <c r="F208" s="293"/>
      <c r="H208" s="293"/>
      <c r="I208" s="293"/>
      <c r="J208" s="293"/>
      <c r="K208" s="293"/>
      <c r="L208" s="293"/>
      <c r="N208" s="294"/>
      <c r="O208" s="295"/>
    </row>
    <row r="209" ht="15.75" customHeight="1">
      <c r="B209" s="293"/>
      <c r="D209" s="293"/>
      <c r="F209" s="293"/>
      <c r="H209" s="293"/>
      <c r="I209" s="293"/>
      <c r="J209" s="293"/>
      <c r="K209" s="293"/>
      <c r="L209" s="293"/>
      <c r="N209" s="294"/>
      <c r="O209" s="295"/>
    </row>
    <row r="210" ht="15.75" customHeight="1">
      <c r="B210" s="293"/>
      <c r="D210" s="293"/>
      <c r="F210" s="293"/>
      <c r="H210" s="293"/>
      <c r="I210" s="293"/>
      <c r="J210" s="293"/>
      <c r="K210" s="293"/>
      <c r="L210" s="293"/>
      <c r="N210" s="294"/>
      <c r="O210" s="295"/>
    </row>
    <row r="211" ht="15.75" customHeight="1">
      <c r="B211" s="293"/>
      <c r="D211" s="293"/>
      <c r="F211" s="293"/>
      <c r="H211" s="293"/>
      <c r="I211" s="293"/>
      <c r="J211" s="293"/>
      <c r="K211" s="293"/>
      <c r="L211" s="293"/>
      <c r="N211" s="294"/>
      <c r="O211" s="295"/>
    </row>
    <row r="212" ht="15.75" customHeight="1">
      <c r="B212" s="293"/>
      <c r="D212" s="293"/>
      <c r="F212" s="293"/>
      <c r="H212" s="293"/>
      <c r="I212" s="293"/>
      <c r="J212" s="293"/>
      <c r="K212" s="293"/>
      <c r="L212" s="293"/>
      <c r="N212" s="294"/>
      <c r="O212" s="295"/>
    </row>
    <row r="213" ht="15.75" customHeight="1">
      <c r="B213" s="293"/>
      <c r="D213" s="293"/>
      <c r="F213" s="293"/>
      <c r="H213" s="293"/>
      <c r="I213" s="293"/>
      <c r="J213" s="293"/>
      <c r="K213" s="293"/>
      <c r="L213" s="293"/>
      <c r="N213" s="294"/>
      <c r="O213" s="295"/>
    </row>
    <row r="214" ht="15.75" customHeight="1">
      <c r="B214" s="293"/>
      <c r="D214" s="293"/>
      <c r="F214" s="293"/>
      <c r="H214" s="293"/>
      <c r="I214" s="293"/>
      <c r="J214" s="293"/>
      <c r="K214" s="293"/>
      <c r="L214" s="293"/>
      <c r="N214" s="294"/>
      <c r="O214" s="295"/>
    </row>
    <row r="215" ht="15.75" customHeight="1">
      <c r="B215" s="293"/>
      <c r="D215" s="293"/>
      <c r="F215" s="293"/>
      <c r="H215" s="293"/>
      <c r="I215" s="293"/>
      <c r="J215" s="293"/>
      <c r="K215" s="293"/>
      <c r="L215" s="293"/>
      <c r="N215" s="294"/>
      <c r="O215" s="295"/>
    </row>
    <row r="216" ht="15.75" customHeight="1">
      <c r="B216" s="293"/>
      <c r="D216" s="293"/>
      <c r="F216" s="293"/>
      <c r="H216" s="293"/>
      <c r="I216" s="293"/>
      <c r="J216" s="293"/>
      <c r="K216" s="293"/>
      <c r="L216" s="293"/>
      <c r="N216" s="294"/>
      <c r="O216" s="295"/>
    </row>
    <row r="217" ht="15.75" customHeight="1">
      <c r="B217" s="293"/>
      <c r="D217" s="293"/>
      <c r="F217" s="293"/>
      <c r="H217" s="293"/>
      <c r="I217" s="293"/>
      <c r="J217" s="293"/>
      <c r="K217" s="293"/>
      <c r="L217" s="293"/>
      <c r="N217" s="294"/>
      <c r="O217" s="295"/>
    </row>
    <row r="218" ht="15.75" customHeight="1">
      <c r="B218" s="293"/>
      <c r="D218" s="293"/>
      <c r="F218" s="293"/>
      <c r="H218" s="293"/>
      <c r="I218" s="293"/>
      <c r="J218" s="293"/>
      <c r="K218" s="293"/>
      <c r="L218" s="293"/>
      <c r="N218" s="294"/>
      <c r="O218" s="295"/>
    </row>
    <row r="219" ht="15.75" customHeight="1">
      <c r="B219" s="293"/>
      <c r="D219" s="293"/>
      <c r="F219" s="293"/>
      <c r="H219" s="293"/>
      <c r="I219" s="293"/>
      <c r="J219" s="293"/>
      <c r="K219" s="293"/>
      <c r="L219" s="293"/>
      <c r="N219" s="294"/>
      <c r="O219" s="295"/>
    </row>
    <row r="220" ht="15.75" customHeight="1">
      <c r="B220" s="293"/>
      <c r="D220" s="293"/>
      <c r="F220" s="293"/>
      <c r="H220" s="293"/>
      <c r="I220" s="293"/>
      <c r="J220" s="293"/>
      <c r="K220" s="293"/>
      <c r="L220" s="293"/>
      <c r="N220" s="294"/>
      <c r="O220" s="295"/>
    </row>
    <row r="221" ht="15.75" customHeight="1">
      <c r="B221" s="293"/>
      <c r="D221" s="293"/>
      <c r="F221" s="293"/>
      <c r="H221" s="293"/>
      <c r="I221" s="293"/>
      <c r="J221" s="293"/>
      <c r="K221" s="293"/>
      <c r="L221" s="293"/>
      <c r="N221" s="294"/>
      <c r="O221" s="295"/>
    </row>
    <row r="222" ht="15.75" customHeight="1">
      <c r="B222" s="293"/>
      <c r="D222" s="293"/>
      <c r="F222" s="293"/>
      <c r="H222" s="293"/>
      <c r="I222" s="293"/>
      <c r="J222" s="293"/>
      <c r="K222" s="293"/>
      <c r="L222" s="293"/>
      <c r="N222" s="294"/>
      <c r="O222" s="295"/>
    </row>
    <row r="223" ht="15.75" customHeight="1">
      <c r="N223" s="294"/>
      <c r="O223" s="295"/>
    </row>
    <row r="224" ht="15.75" customHeight="1">
      <c r="N224" s="294"/>
      <c r="O224" s="295"/>
    </row>
    <row r="225" ht="15.75" customHeight="1">
      <c r="N225" s="294"/>
      <c r="O225" s="295"/>
    </row>
    <row r="226" ht="15.75" customHeight="1">
      <c r="N226" s="294"/>
      <c r="O226" s="295"/>
    </row>
    <row r="227" ht="15.75" customHeight="1">
      <c r="N227" s="294"/>
      <c r="O227" s="295"/>
    </row>
    <row r="228" ht="15.75" customHeight="1">
      <c r="N228" s="294"/>
      <c r="O228" s="295"/>
    </row>
    <row r="229" ht="15.75" customHeight="1">
      <c r="N229" s="294"/>
      <c r="O229" s="295"/>
    </row>
    <row r="230" ht="15.75" customHeight="1">
      <c r="N230" s="294"/>
      <c r="O230" s="295"/>
    </row>
    <row r="231" ht="15.75" customHeight="1">
      <c r="N231" s="294"/>
      <c r="O231" s="295"/>
    </row>
    <row r="232" ht="15.75" customHeight="1">
      <c r="N232" s="294"/>
      <c r="O232" s="295"/>
    </row>
    <row r="233" ht="15.75" customHeight="1">
      <c r="N233" s="294"/>
      <c r="O233" s="29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L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36.5"/>
    <col customWidth="1" min="3" max="26" width="8.63"/>
  </cols>
  <sheetData>
    <row r="1">
      <c r="A1" s="153" t="s">
        <v>575</v>
      </c>
    </row>
    <row r="2">
      <c r="A2" s="23" t="s">
        <v>50</v>
      </c>
      <c r="B2" s="153" t="s">
        <v>122</v>
      </c>
    </row>
    <row r="3">
      <c r="A3" s="153" t="s">
        <v>37</v>
      </c>
      <c r="B3" s="23" t="s">
        <v>79</v>
      </c>
    </row>
    <row r="4">
      <c r="A4" s="153" t="s">
        <v>20</v>
      </c>
      <c r="B4" s="153" t="s">
        <v>92</v>
      </c>
    </row>
    <row r="5">
      <c r="A5" s="153" t="s">
        <v>40</v>
      </c>
      <c r="B5" s="153" t="s">
        <v>162</v>
      </c>
    </row>
    <row r="6">
      <c r="A6" s="153" t="s">
        <v>92</v>
      </c>
    </row>
    <row r="7">
      <c r="A7" s="23" t="s">
        <v>79</v>
      </c>
    </row>
    <row r="8">
      <c r="A8" s="153" t="s">
        <v>162</v>
      </c>
    </row>
    <row r="9">
      <c r="A9" s="153" t="s">
        <v>369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2026-09-21T02:36:43Z</dcterms:created>
  <dc:creator>Allison YUEN</dc:creator>
</cp:coreProperties>
</file>